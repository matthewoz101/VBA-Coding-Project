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atth\Documents\BIT3424\Project\"/>
    </mc:Choice>
  </mc:AlternateContent>
  <xr:revisionPtr revIDLastSave="0" documentId="13_ncr:1_{589941D1-84B4-4710-9F7F-3BD237FDF3D4}" xr6:coauthVersionLast="45" xr6:coauthVersionMax="45" xr10:uidLastSave="{00000000-0000-0000-0000-000000000000}"/>
  <bookViews>
    <workbookView xWindow="0" yWindow="0" windowWidth="38400" windowHeight="21000" xr2:uid="{5BED3507-16DA-4159-9E3E-5A14EC0E4B88}"/>
  </bookViews>
  <sheets>
    <sheet name="LogIn" sheetId="25" r:id="rId1"/>
    <sheet name="Hidden" sheetId="12" state="hidden" r:id="rId2"/>
    <sheet name="Data Pivot Chart" sheetId="20" state="hidden" r:id="rId3"/>
    <sheet name="Main Data with Charts" sheetId="21" state="hidden" r:id="rId4"/>
    <sheet name="SummaryCharts" sheetId="22" state="hidden" r:id="rId5"/>
    <sheet name="PivotTablesWithHistograms" sheetId="29" state="hidden" r:id="rId6"/>
    <sheet name="StaffHours" sheetId="23" state="hidden" r:id="rId7"/>
    <sheet name="ClientTravel" sheetId="24" state="hidden" r:id="rId8"/>
    <sheet name="TechnologySupport" sheetId="19" state="hidden" r:id="rId9"/>
    <sheet name="Investment" sheetId="13" state="hidden" r:id="rId10"/>
    <sheet name="Text Report" sheetId="26" state="hidden" r:id="rId11"/>
    <sheet name="Investment Data" sheetId="10" state="hidden" r:id="rId12"/>
  </sheets>
  <externalReferences>
    <externalReference r:id="rId13"/>
    <externalReference r:id="rId14"/>
    <externalReference r:id="rId15"/>
  </externalReferences>
  <definedNames>
    <definedName name="Alexandria">[1]Shipping!$B$17:$C$17</definedName>
    <definedName name="AllocatedStaffHours">Investment!$C$24:$C$33</definedName>
    <definedName name="AllocatedTotal">Investment!$C$39</definedName>
    <definedName name="AllocationName">Investment!$C$23</definedName>
    <definedName name="AssignDV">#REF!</definedName>
    <definedName name="Assigned">#REF!</definedName>
    <definedName name="Available_Supply">[1]Shipping!$B$25:$C$25</definedName>
    <definedName name="AvgSales">[1]Shipping!#REF!</definedName>
    <definedName name="AvgSales_r">[1]Shipping!#REF!</definedName>
    <definedName name="AvgUtilz">#REF!</definedName>
    <definedName name="Bburg">[1]Shipping!$B$18:$C$18</definedName>
    <definedName name="Capacity">[1]Assignment!$B$13:$D$13</definedName>
    <definedName name="Cburg">[1]Shipping!$B$19:$C$19</definedName>
    <definedName name="Client_Travel">Investment!$E$10:$E$19</definedName>
    <definedName name="CurrentRole">Hidden!$I$2</definedName>
    <definedName name="DailyPay">[1]Shipping!#REF!</definedName>
    <definedName name="DailyPay_f">[1]Shipping!#REF!</definedName>
    <definedName name="Demand">[1]Assignment!$F$5:$F$10</definedName>
    <definedName name="Difference1">'Investment Data'!$B$19:$B$28</definedName>
    <definedName name="Difference2">'Investment Data'!$M$69:$M$78</definedName>
    <definedName name="Difference3">'Investment Data'!$M$94:$M$103</definedName>
    <definedName name="Difference4">'Investment Data'!$M$115:$M$124</definedName>
    <definedName name="Difference5">'Investment Data'!$M$137:$M$146</definedName>
    <definedName name="Difference6">'Investment Data'!$M$158:$M$167</definedName>
    <definedName name="DifferenceFormulas">Investment!$D$24:$D$33</definedName>
    <definedName name="Divided1">'Investment Data'!$F$19:$F$28</definedName>
    <definedName name="Divided2">'Investment Data'!$Q$69:$Q$78</definedName>
    <definedName name="Divided3">'Investment Data'!$Q$94:$Q$103</definedName>
    <definedName name="Divided4">'Investment Data'!$Q$115:$Q$124</definedName>
    <definedName name="Divided5">'Investment Data'!$Q$137:$Q$146</definedName>
    <definedName name="Divided6">'Investment Data'!$Q$158:$Q$167</definedName>
    <definedName name="Driver_Cost_Stop">[1]Assignment!$B$15:$D$15</definedName>
    <definedName name="DSOut">[1]Shipping!#REF!</definedName>
    <definedName name="ExpenseSum1">'Investment Data'!$D$30</definedName>
    <definedName name="ExpenseSum2">'Investment Data'!$O$80</definedName>
    <definedName name="ExpenseSum3">'Investment Data'!$O$105</definedName>
    <definedName name="ExpenseSum4">'Investment Data'!$O$126</definedName>
    <definedName name="ExpenseSum5">'Investment Data'!$O$148</definedName>
    <definedName name="ExpenseSum6">'Investment Data'!$O$169</definedName>
    <definedName name="FinishDate">#REF!</definedName>
    <definedName name="FlowLHS">#REF!</definedName>
    <definedName name="FlowRHS">#REF!</definedName>
    <definedName name="ForecastedGrossProfit">Investment!$E$24:$E$33</definedName>
    <definedName name="Formula1">'Investment Data'!$D$61:$F$61</definedName>
    <definedName name="Formula2">'Investment Data'!$D$82:$F$82</definedName>
    <definedName name="Formula3">'Investment Data'!$D$107:$F$107</definedName>
    <definedName name="Formula4">'Investment Data'!$D$128:$F$128</definedName>
    <definedName name="Formula5">'Investment Data'!$D$151:$F$151</definedName>
    <definedName name="Formula6">'Investment Data'!$D$172:$F$172</definedName>
    <definedName name="From">#REF!</definedName>
    <definedName name="HoursAllow">#REF!</definedName>
    <definedName name="HoursAssign">#REF!</definedName>
    <definedName name="LogInInfo">Hidden!$A$2:$D$9</definedName>
    <definedName name="MaxPReport">[1]Shipping!#REF!</definedName>
    <definedName name="Mid_Points">#REF!</definedName>
    <definedName name="NewProfit">Investment!$E$36</definedName>
    <definedName name="Node_From_To">#REF!</definedName>
    <definedName name="Node_To">#REF!</definedName>
    <definedName name="Nodes">#REF!</definedName>
    <definedName name="NoLoopLHS">#REF!</definedName>
    <definedName name="NoLoopRHS">#REF!</definedName>
    <definedName name="NoRLoop_LHS">#REF!</definedName>
    <definedName name="NoRLoop_RHS">#REF!</definedName>
    <definedName name="Number_Stops">[1]Assignment!$B$14:$D$14</definedName>
    <definedName name="Objective1">'Investment Data'!$C$30</definedName>
    <definedName name="Objective2">'Investment Data'!$N$80</definedName>
    <definedName name="Objective3">'Investment Data'!$N$105</definedName>
    <definedName name="Objective4">'Investment Data'!$N$126</definedName>
    <definedName name="Objective5">'Investment Data'!$N$148</definedName>
    <definedName name="Objective6">'Investment Data'!$N$169</definedName>
    <definedName name="Order">#REF!</definedName>
    <definedName name="OutputDate">#REF!</definedName>
    <definedName name="P1_Price">[1]Shipping!#REF!</definedName>
    <definedName name="P1_Sales">[1]Shipping!#REF!</definedName>
    <definedName name="PastedTextReport">'Text Report'!$C$203:$C$223</definedName>
    <definedName name="PasteFormula">Investment!$D$21:$F$21</definedName>
    <definedName name="PasteTextReport">'Text Report'!$C$203</definedName>
    <definedName name="Path_Cost">#REF!</definedName>
    <definedName name="Path_Time">#REF!</definedName>
    <definedName name="PrevQDate">#REF!</definedName>
    <definedName name="Profit">[1]Shipping!#REF!</definedName>
    <definedName name="Profit_r">[1]Shipping!#REF!</definedName>
    <definedName name="Region1">'Investment Data'!$B$4:$H$13</definedName>
    <definedName name="Region2">'Investment Data'!$B$32:$H$41</definedName>
    <definedName name="RegionName">Investment!$B$7</definedName>
    <definedName name="RegionTable">Investment!$B$10:$H$19</definedName>
    <definedName name="ReportStart">'Text Report'!$B$5</definedName>
    <definedName name="ResultNeed">#REF!</definedName>
    <definedName name="Roanoke">[1]Shipping!$B$20:$C$20</definedName>
    <definedName name="Route">#REF!</definedName>
    <definedName name="Route_Order__y">#REF!</definedName>
    <definedName name="RunTime">#REF!</definedName>
    <definedName name="Salem">[1]Shipping!$B$21:$C$21</definedName>
    <definedName name="Sales">[1]Shipping!#REF!</definedName>
    <definedName name="SalesP">[1]Shipping!#REF!</definedName>
    <definedName name="SalesP_r">[1]Shipping!#REF!</definedName>
    <definedName name="Slicer_Year">#N/A</definedName>
    <definedName name="solver_adj" localSheetId="9" hidden="1">Investment!$C$24:$C$33</definedName>
    <definedName name="solver_adj" localSheetId="11" hidden="1">'Investment Data'!$D$19:$D$28</definedName>
    <definedName name="solver_cvg" localSheetId="9" hidden="1">0.0001</definedName>
    <definedName name="solver_cvg" localSheetId="11" hidden="1">0.0001</definedName>
    <definedName name="solver_drv" localSheetId="9" hidden="1">2</definedName>
    <definedName name="solver_drv" localSheetId="11" hidden="1">1</definedName>
    <definedName name="solver_eng" localSheetId="9" hidden="1">1</definedName>
    <definedName name="solver_eng" localSheetId="11" hidden="1">1</definedName>
    <definedName name="solver_est" localSheetId="9" hidden="1">1</definedName>
    <definedName name="solver_est" localSheetId="11" hidden="1">1</definedName>
    <definedName name="solver_itr" localSheetId="9" hidden="1">2147483647</definedName>
    <definedName name="solver_itr" localSheetId="11" hidden="1">2147483647</definedName>
    <definedName name="solver_lhs1" localSheetId="9" hidden="1">Investment!$C$36</definedName>
    <definedName name="solver_lhs1" localSheetId="11" hidden="1">'Investment Data'!$O$169</definedName>
    <definedName name="solver_lhs2" localSheetId="9" hidden="1">Investment!$C$24:$C$33</definedName>
    <definedName name="solver_lhs2" localSheetId="11" hidden="1">'Investment Data'!$O$158:$O$167</definedName>
    <definedName name="solver_lhs3" localSheetId="9" hidden="1">Investment!$C$24:$C$33</definedName>
    <definedName name="solver_lhs3" localSheetId="11" hidden="1">'Investment Data'!$O$158:$O$167</definedName>
    <definedName name="solver_mip" localSheetId="9" hidden="1">2147483647</definedName>
    <definedName name="solver_mip" localSheetId="11" hidden="1">2147483647</definedName>
    <definedName name="solver_mni" localSheetId="9" hidden="1">30</definedName>
    <definedName name="solver_mni" localSheetId="11" hidden="1">30</definedName>
    <definedName name="solver_mrt" localSheetId="9" hidden="1">0.075</definedName>
    <definedName name="solver_mrt" localSheetId="11" hidden="1">0.075</definedName>
    <definedName name="solver_msl" localSheetId="9" hidden="1">2</definedName>
    <definedName name="solver_msl" localSheetId="11" hidden="1">2</definedName>
    <definedName name="solver_neg" localSheetId="9" hidden="1">1</definedName>
    <definedName name="solver_neg" localSheetId="11" hidden="1">1</definedName>
    <definedName name="solver_nod" localSheetId="9" hidden="1">2147483647</definedName>
    <definedName name="solver_nod" localSheetId="11" hidden="1">2147483647</definedName>
    <definedName name="solver_num" localSheetId="9" hidden="1">3</definedName>
    <definedName name="solver_num" localSheetId="11" hidden="1">0</definedName>
    <definedName name="solver_nwt" localSheetId="9" hidden="1">1</definedName>
    <definedName name="solver_nwt" localSheetId="11" hidden="1">1</definedName>
    <definedName name="solver_opt" localSheetId="9" hidden="1">Investment!$E$36</definedName>
    <definedName name="solver_opt" localSheetId="11" hidden="1">'Investment Data'!$C$30</definedName>
    <definedName name="solver_pre" localSheetId="9" hidden="1">0.000001</definedName>
    <definedName name="solver_pre" localSheetId="11" hidden="1">0.000001</definedName>
    <definedName name="solver_rbv" localSheetId="9" hidden="1">2</definedName>
    <definedName name="solver_rbv" localSheetId="11" hidden="1">1</definedName>
    <definedName name="solver_rel1" localSheetId="9" hidden="1">1</definedName>
    <definedName name="solver_rel1" localSheetId="11" hidden="1">1</definedName>
    <definedName name="solver_rel2" localSheetId="9" hidden="1">1</definedName>
    <definedName name="solver_rel2" localSheetId="11" hidden="1">1</definedName>
    <definedName name="solver_rel3" localSheetId="9" hidden="1">3</definedName>
    <definedName name="solver_rel3" localSheetId="11" hidden="1">3</definedName>
    <definedName name="solver_rhs1" localSheetId="9" hidden="1">AllocatedTotal</definedName>
    <definedName name="solver_rhs1" localSheetId="11" hidden="1">'Investment Data'!$Q$169</definedName>
    <definedName name="solver_rhs2" localSheetId="9" hidden="1">Investment!$C$43</definedName>
    <definedName name="solver_rhs2" localSheetId="11" hidden="1">Divided6</definedName>
    <definedName name="solver_rhs3" localSheetId="9" hidden="1">Investment!$C$41</definedName>
    <definedName name="solver_rhs3" localSheetId="11" hidden="1">Difference6</definedName>
    <definedName name="solver_rlx" localSheetId="9" hidden="1">2</definedName>
    <definedName name="solver_rlx" localSheetId="11" hidden="1">2</definedName>
    <definedName name="solver_rsd" localSheetId="9" hidden="1">0</definedName>
    <definedName name="solver_rsd" localSheetId="11" hidden="1">0</definedName>
    <definedName name="solver_scl" localSheetId="9" hidden="1">2</definedName>
    <definedName name="solver_scl" localSheetId="11" hidden="1">1</definedName>
    <definedName name="solver_sho" localSheetId="9" hidden="1">2</definedName>
    <definedName name="solver_sho" localSheetId="11" hidden="1">2</definedName>
    <definedName name="solver_ssz" localSheetId="9" hidden="1">100</definedName>
    <definedName name="solver_ssz" localSheetId="11" hidden="1">100</definedName>
    <definedName name="solver_tim" localSheetId="9" hidden="1">2147483647</definedName>
    <definedName name="solver_tim" localSheetId="11" hidden="1">2147483647</definedName>
    <definedName name="solver_tol" localSheetId="9" hidden="1">0.01</definedName>
    <definedName name="solver_tol" localSheetId="11" hidden="1">0.01</definedName>
    <definedName name="solver_typ" localSheetId="9" hidden="1">1</definedName>
    <definedName name="solver_typ" localSheetId="11" hidden="1">1</definedName>
    <definedName name="solver_val" localSheetId="9" hidden="1">0</definedName>
    <definedName name="solver_val" localSheetId="11" hidden="1">0</definedName>
    <definedName name="solver_ver" localSheetId="9" hidden="1">3</definedName>
    <definedName name="solver_ver" localSheetId="11" hidden="1">3</definedName>
    <definedName name="Staff_Hours">Investment!$D$10:$D$19</definedName>
    <definedName name="StaffAssign">#REF!</definedName>
    <definedName name="StaffReq">#REF!</definedName>
    <definedName name="Start_End">#REF!</definedName>
    <definedName name="StatusBar">[1]Shipping!#REF!</definedName>
    <definedName name="Technology_Support">Investment!$F$10:$F$19</definedName>
    <definedName name="TestRange">'Text Report'!$B$31</definedName>
    <definedName name="TestRange2">'Text Report'!$B$31:$B$32</definedName>
    <definedName name="TextReport">'Text Report'!$B$6:$S$26</definedName>
    <definedName name="TixPrice">[1]Shipping!#REF!</definedName>
    <definedName name="TixPrice_f">[1]Shipping!#REF!</definedName>
    <definedName name="To">#REF!</definedName>
    <definedName name="Total_Demand">[1]Shipping!$E$17:$E$22</definedName>
    <definedName name="Total_Shipped">[1]Shipping!$B$17:$C$22</definedName>
    <definedName name="Total_Stops">#REF!</definedName>
    <definedName name="Total_Time">#REF!</definedName>
    <definedName name="TotalAllocationName">Investment!$C$35</definedName>
    <definedName name="TotalProfit">Investment!$H$22</definedName>
    <definedName name="TotalProfitM">#REF!</definedName>
    <definedName name="TrialStart">[1]Shipping!#REF!</definedName>
    <definedName name="Truck_1">[1]Assignment!$B$5:$B$10</definedName>
    <definedName name="Truck_2">[1]Assignment!$C$5:$C$10</definedName>
    <definedName name="Truck_3">[1]Assignment!$D$5:$D$10</definedName>
    <definedName name="Unit_Shipping_Cost">[1]Shipping!$H$17:$I$22</definedName>
    <definedName name="VarChange1">'Investment Data'!$D$19:$D$28</definedName>
    <definedName name="VarChange2">'Investment Data'!$O$69:$O$78</definedName>
    <definedName name="VarChange3">'Investment Data'!$O$94:$O$103</definedName>
    <definedName name="VarChange4">'Investment Data'!$O$115:$O$124</definedName>
    <definedName name="VarChange5">'Investment Data'!$O$137:$O$146</definedName>
    <definedName name="VarChange6">'Investment Data'!$O$158:$O$167</definedName>
    <definedName name="Vienna">[1]Shipping!$B$22:$C$22</definedName>
    <definedName name="WH_1">[1]Shipping!$B$17:$B$22</definedName>
    <definedName name="WH_2">[1]Shipping!$C$17:$C$22</definedName>
  </definedNames>
  <calcPr calcId="191029"/>
  <pivotCaches>
    <pivotCache cacheId="0" r:id="rId16"/>
    <pivotCache cacheId="1" r:id="rId17"/>
    <pivotCache cacheId="2"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3" l="1"/>
  <c r="D32" i="13"/>
  <c r="D31" i="13"/>
  <c r="D30" i="13"/>
  <c r="D29" i="13"/>
  <c r="D28" i="13"/>
  <c r="D27" i="13"/>
  <c r="D26" i="13"/>
  <c r="D25" i="13"/>
  <c r="D24" i="13"/>
  <c r="H19" i="13"/>
  <c r="G19" i="13"/>
  <c r="H18" i="13"/>
  <c r="G18" i="13"/>
  <c r="H17" i="13"/>
  <c r="G17" i="13"/>
  <c r="B17" i="13"/>
  <c r="H16" i="13"/>
  <c r="G16" i="13"/>
  <c r="B16" i="13"/>
  <c r="B15" i="13" s="1"/>
  <c r="B14" i="13" s="1"/>
  <c r="B13" i="13" s="1"/>
  <c r="B12" i="13" s="1"/>
  <c r="B11" i="13" s="1"/>
  <c r="B10" i="13" s="1"/>
  <c r="H15" i="13"/>
  <c r="G15" i="13"/>
  <c r="H14" i="13"/>
  <c r="G14" i="13"/>
  <c r="H13" i="13"/>
  <c r="G13" i="13"/>
  <c r="H12" i="13"/>
  <c r="G12" i="13"/>
  <c r="H11" i="13"/>
  <c r="G11" i="13"/>
  <c r="H10" i="13"/>
  <c r="G10" i="13"/>
  <c r="E33" i="13" l="1"/>
  <c r="E32" i="13"/>
  <c r="E31" i="13"/>
  <c r="E30" i="13"/>
  <c r="E29" i="13"/>
  <c r="E28" i="13"/>
  <c r="E27" i="13"/>
  <c r="E26" i="13"/>
  <c r="E25" i="13"/>
  <c r="E24" i="13"/>
  <c r="H27" i="29" l="1"/>
  <c r="G27" i="29"/>
  <c r="H26" i="29"/>
  <c r="G26" i="29"/>
  <c r="H25" i="29"/>
  <c r="G25" i="29"/>
  <c r="H24" i="29"/>
  <c r="G24" i="29"/>
  <c r="H23" i="29"/>
  <c r="G23" i="29"/>
  <c r="H22" i="29"/>
  <c r="G22" i="29"/>
  <c r="H21" i="29"/>
  <c r="G21" i="29"/>
  <c r="H20" i="29"/>
  <c r="G20" i="29"/>
  <c r="H19" i="29"/>
  <c r="G19" i="29"/>
  <c r="H18" i="29"/>
  <c r="G18" i="29"/>
  <c r="H17" i="29"/>
  <c r="G17" i="29"/>
  <c r="H16" i="29"/>
  <c r="G16" i="29"/>
  <c r="H15" i="29"/>
  <c r="G15" i="29"/>
  <c r="B15" i="29"/>
  <c r="B14" i="29" s="1"/>
  <c r="B13" i="29" s="1"/>
  <c r="B12" i="29" s="1"/>
  <c r="B11" i="29" s="1"/>
  <c r="B10" i="29" s="1"/>
  <c r="B9" i="29" s="1"/>
  <c r="B8" i="29" s="1"/>
  <c r="B18" i="29" s="1"/>
  <c r="B19" i="29" s="1"/>
  <c r="B20" i="29" s="1"/>
  <c r="B21" i="29" s="1"/>
  <c r="B22" i="29" s="1"/>
  <c r="B23" i="29" s="1"/>
  <c r="B24" i="29" s="1"/>
  <c r="B25" i="29" s="1"/>
  <c r="B26" i="29" s="1"/>
  <c r="B27" i="29" s="1"/>
  <c r="H14" i="29"/>
  <c r="G14" i="29"/>
  <c r="H13" i="29"/>
  <c r="G13" i="29"/>
  <c r="H12" i="29"/>
  <c r="G12" i="29"/>
  <c r="H11" i="29"/>
  <c r="G11" i="29"/>
  <c r="H10" i="29"/>
  <c r="G10" i="29"/>
  <c r="H9" i="29"/>
  <c r="G9" i="29"/>
  <c r="H8" i="29"/>
  <c r="G8" i="29"/>
  <c r="AF29" i="21" l="1"/>
  <c r="I26" i="22" l="1"/>
  <c r="H26" i="22"/>
  <c r="I25" i="22"/>
  <c r="H25" i="22"/>
  <c r="I24" i="22"/>
  <c r="H24" i="22"/>
  <c r="I23" i="22"/>
  <c r="H23" i="22"/>
  <c r="I22" i="22"/>
  <c r="H22" i="22"/>
  <c r="I21" i="22"/>
  <c r="H21" i="22"/>
  <c r="I20" i="22"/>
  <c r="H20" i="22"/>
  <c r="I19" i="22"/>
  <c r="H19" i="22"/>
  <c r="I18" i="22"/>
  <c r="H18" i="22"/>
  <c r="I17" i="22"/>
  <c r="H17" i="22"/>
  <c r="I16" i="22"/>
  <c r="H16" i="22"/>
  <c r="I15" i="22"/>
  <c r="H15" i="22"/>
  <c r="I14" i="22"/>
  <c r="H14" i="22"/>
  <c r="C14" i="22"/>
  <c r="C13" i="22" s="1"/>
  <c r="C12" i="22" s="1"/>
  <c r="C11" i="22" s="1"/>
  <c r="C10" i="22" s="1"/>
  <c r="C9" i="22" s="1"/>
  <c r="C8" i="22" s="1"/>
  <c r="C7" i="22" s="1"/>
  <c r="C17" i="22" s="1"/>
  <c r="C18" i="22" s="1"/>
  <c r="C19" i="22" s="1"/>
  <c r="C20" i="22" s="1"/>
  <c r="C21" i="22" s="1"/>
  <c r="C22" i="22" s="1"/>
  <c r="C23" i="22" s="1"/>
  <c r="C24" i="22" s="1"/>
  <c r="C25" i="22" s="1"/>
  <c r="C26" i="22" s="1"/>
  <c r="I13" i="22"/>
  <c r="H13" i="22"/>
  <c r="I12" i="22"/>
  <c r="H12" i="22"/>
  <c r="I11" i="22"/>
  <c r="H11" i="22"/>
  <c r="I10" i="22"/>
  <c r="H10" i="22"/>
  <c r="I9" i="22"/>
  <c r="H9" i="22"/>
  <c r="I8" i="22"/>
  <c r="H8" i="22"/>
  <c r="I7" i="22"/>
  <c r="H7" i="22"/>
  <c r="I4" i="12" l="1"/>
  <c r="A140" i="21"/>
  <c r="A141" i="21" s="1"/>
  <c r="A142" i="21" s="1"/>
  <c r="A143" i="21" s="1"/>
  <c r="A144" i="21" s="1"/>
  <c r="A145" i="21" s="1"/>
  <c r="A146" i="21" s="1"/>
  <c r="A147" i="21" s="1"/>
  <c r="A139" i="21"/>
  <c r="B126" i="21"/>
  <c r="B147" i="21" s="1"/>
  <c r="B125" i="21"/>
  <c r="B146" i="21" s="1"/>
  <c r="B124" i="21"/>
  <c r="B145" i="21" s="1"/>
  <c r="B123" i="21"/>
  <c r="B144" i="21" s="1"/>
  <c r="B122" i="21"/>
  <c r="B143" i="21" s="1"/>
  <c r="B121" i="21"/>
  <c r="B142" i="21" s="1"/>
  <c r="B120" i="21"/>
  <c r="B141" i="21" s="1"/>
  <c r="B119" i="21"/>
  <c r="A119" i="21"/>
  <c r="A120" i="21" s="1"/>
  <c r="A121" i="21" s="1"/>
  <c r="A122" i="21" s="1"/>
  <c r="A123" i="21" s="1"/>
  <c r="A124" i="21" s="1"/>
  <c r="A125" i="21" s="1"/>
  <c r="A126" i="21" s="1"/>
  <c r="B118" i="21"/>
  <c r="B139" i="21" s="1"/>
  <c r="A118" i="21"/>
  <c r="B117" i="21"/>
  <c r="B138" i="21" s="1"/>
  <c r="A96" i="21"/>
  <c r="A97" i="21" s="1"/>
  <c r="A98" i="21" s="1"/>
  <c r="A99" i="21" s="1"/>
  <c r="A100" i="21" s="1"/>
  <c r="A101" i="21" s="1"/>
  <c r="A102" i="21" s="1"/>
  <c r="A103" i="21" s="1"/>
  <c r="A95" i="21"/>
  <c r="C94" i="21" a="1"/>
  <c r="B82" i="21"/>
  <c r="B103" i="21" s="1"/>
  <c r="B81" i="21"/>
  <c r="B102" i="21" s="1"/>
  <c r="B80" i="21"/>
  <c r="B101" i="21" s="1"/>
  <c r="B79" i="21"/>
  <c r="B100" i="21" s="1"/>
  <c r="B78" i="21"/>
  <c r="B99" i="21" s="1"/>
  <c r="B77" i="21"/>
  <c r="B98" i="21" s="1"/>
  <c r="B76" i="21"/>
  <c r="B97" i="21" s="1"/>
  <c r="B75" i="21"/>
  <c r="A75" i="21"/>
  <c r="A76" i="21" s="1"/>
  <c r="A77" i="21" s="1"/>
  <c r="A78" i="21" s="1"/>
  <c r="A79" i="21" s="1"/>
  <c r="A80" i="21" s="1"/>
  <c r="A81" i="21" s="1"/>
  <c r="A82" i="21" s="1"/>
  <c r="B74" i="21"/>
  <c r="B95" i="21" s="1"/>
  <c r="A74" i="21"/>
  <c r="B73" i="21"/>
  <c r="B94" i="21" s="1"/>
  <c r="A50" i="21"/>
  <c r="A51" i="21" s="1"/>
  <c r="A52" i="21" s="1"/>
  <c r="A53" i="21" s="1"/>
  <c r="A54" i="21" s="1"/>
  <c r="A55" i="21" s="1"/>
  <c r="A56" i="21" s="1"/>
  <c r="A57" i="21" s="1"/>
  <c r="A49" i="21"/>
  <c r="C48" i="21" a="1"/>
  <c r="B36" i="21"/>
  <c r="B57" i="21" s="1"/>
  <c r="B35" i="21"/>
  <c r="B56" i="21" s="1"/>
  <c r="B34" i="21"/>
  <c r="B55" i="21" s="1"/>
  <c r="B33" i="21"/>
  <c r="B54" i="21" s="1"/>
  <c r="A33" i="21"/>
  <c r="A34" i="21" s="1"/>
  <c r="A35" i="21" s="1"/>
  <c r="A36" i="21" s="1"/>
  <c r="B32" i="21"/>
  <c r="B53" i="21" s="1"/>
  <c r="B31" i="21"/>
  <c r="B52" i="21" s="1"/>
  <c r="B30" i="21"/>
  <c r="B51" i="21" s="1"/>
  <c r="B29" i="21"/>
  <c r="A29" i="21"/>
  <c r="A30" i="21" s="1"/>
  <c r="A31" i="21" s="1"/>
  <c r="A32" i="21" s="1"/>
  <c r="B28" i="21"/>
  <c r="B49" i="21" s="1"/>
  <c r="A28" i="21"/>
  <c r="B27" i="21"/>
  <c r="B48" i="21" s="1"/>
  <c r="H23" i="21"/>
  <c r="G23" i="21"/>
  <c r="H22" i="21"/>
  <c r="G22" i="21"/>
  <c r="H21" i="21"/>
  <c r="G21" i="21"/>
  <c r="H20" i="21"/>
  <c r="G20" i="21"/>
  <c r="H19" i="21"/>
  <c r="G19" i="21"/>
  <c r="H18" i="21"/>
  <c r="G18" i="21"/>
  <c r="H17" i="21"/>
  <c r="G17" i="21"/>
  <c r="H16" i="21"/>
  <c r="G16" i="21"/>
  <c r="H15" i="21"/>
  <c r="C138" i="21" s="1" a="1"/>
  <c r="G15" i="21"/>
  <c r="H14" i="21"/>
  <c r="G14" i="21"/>
  <c r="H13" i="21"/>
  <c r="G13" i="21"/>
  <c r="H12" i="21"/>
  <c r="G12" i="21"/>
  <c r="H11" i="21"/>
  <c r="G11" i="21"/>
  <c r="B11" i="21"/>
  <c r="B10" i="21" s="1"/>
  <c r="B9" i="21" s="1"/>
  <c r="B8" i="21" s="1"/>
  <c r="B7" i="21" s="1"/>
  <c r="B6" i="21" s="1"/>
  <c r="B5" i="21" s="1"/>
  <c r="B4" i="21" s="1"/>
  <c r="B14" i="21" s="1"/>
  <c r="B15" i="21" s="1"/>
  <c r="B16" i="21" s="1"/>
  <c r="B17" i="21" s="1"/>
  <c r="B18" i="21" s="1"/>
  <c r="B19" i="21" s="1"/>
  <c r="B20" i="21" s="1"/>
  <c r="B21" i="21" s="1"/>
  <c r="B22" i="21" s="1"/>
  <c r="B23" i="21" s="1"/>
  <c r="H10" i="21"/>
  <c r="G10" i="21"/>
  <c r="H9" i="21"/>
  <c r="G9" i="21"/>
  <c r="H8" i="21"/>
  <c r="G8" i="21"/>
  <c r="H7" i="21"/>
  <c r="G7" i="21"/>
  <c r="H6" i="21"/>
  <c r="G6" i="21"/>
  <c r="H5" i="21"/>
  <c r="C27" i="21" s="1" a="1"/>
  <c r="G5" i="21"/>
  <c r="H4" i="21"/>
  <c r="C73" i="21" s="1" a="1"/>
  <c r="G4" i="21"/>
  <c r="H25" i="20"/>
  <c r="G25" i="20"/>
  <c r="H24" i="20"/>
  <c r="G24" i="20"/>
  <c r="H23" i="20"/>
  <c r="G23" i="20"/>
  <c r="H22" i="20"/>
  <c r="G22" i="20"/>
  <c r="H21" i="20"/>
  <c r="G21" i="20"/>
  <c r="H20" i="20"/>
  <c r="G20" i="20"/>
  <c r="H19" i="20"/>
  <c r="G19" i="20"/>
  <c r="H18" i="20"/>
  <c r="G18" i="20"/>
  <c r="H17" i="20"/>
  <c r="G17" i="20"/>
  <c r="H16" i="20"/>
  <c r="G16" i="20"/>
  <c r="H14" i="20"/>
  <c r="G14" i="20"/>
  <c r="H13" i="20"/>
  <c r="G13" i="20"/>
  <c r="H12" i="20"/>
  <c r="G12" i="20"/>
  <c r="B12" i="20"/>
  <c r="B11" i="20" s="1"/>
  <c r="B10" i="20" s="1"/>
  <c r="B9" i="20" s="1"/>
  <c r="B8" i="20" s="1"/>
  <c r="B7" i="20" s="1"/>
  <c r="B6" i="20" s="1"/>
  <c r="B5" i="20" s="1"/>
  <c r="B16" i="20" s="1"/>
  <c r="B17" i="20" s="1"/>
  <c r="B18" i="20" s="1"/>
  <c r="B19" i="20" s="1"/>
  <c r="B20" i="20" s="1"/>
  <c r="B21" i="20" s="1"/>
  <c r="B22" i="20" s="1"/>
  <c r="B23" i="20" s="1"/>
  <c r="B24" i="20" s="1"/>
  <c r="B25" i="20" s="1"/>
  <c r="H11" i="20"/>
  <c r="G11" i="20"/>
  <c r="H10" i="20"/>
  <c r="G10" i="20"/>
  <c r="H9" i="20"/>
  <c r="G9" i="20"/>
  <c r="H8" i="20"/>
  <c r="G8" i="20"/>
  <c r="H7" i="20"/>
  <c r="G7" i="20"/>
  <c r="H6" i="20"/>
  <c r="G6" i="20"/>
  <c r="H5" i="20"/>
  <c r="G5" i="20"/>
  <c r="C27" i="21" l="1"/>
  <c r="D35" i="21" a="1"/>
  <c r="D35" i="21" s="1"/>
  <c r="H35" i="21" s="1"/>
  <c r="C48" i="21"/>
  <c r="C73" i="21"/>
  <c r="C138" i="21"/>
  <c r="E57" i="21" a="1"/>
  <c r="E57" i="21" s="1"/>
  <c r="I57" i="21" s="1"/>
  <c r="E51" i="21" a="1"/>
  <c r="E51" i="21" s="1"/>
  <c r="I51" i="21" s="1"/>
  <c r="E54" i="21" a="1"/>
  <c r="E54" i="21" s="1"/>
  <c r="I54" i="21" s="1"/>
  <c r="D53" i="21" a="1"/>
  <c r="D53" i="21" s="1"/>
  <c r="H53" i="21" s="1"/>
  <c r="E48" i="21" a="1"/>
  <c r="E48" i="21" s="1"/>
  <c r="E55" i="21" a="1"/>
  <c r="E55" i="21" s="1"/>
  <c r="I55" i="21" s="1"/>
  <c r="D48" i="21" a="1"/>
  <c r="D48" i="21" s="1"/>
  <c r="E56" i="21" a="1"/>
  <c r="E56" i="21" s="1"/>
  <c r="I56" i="21" s="1"/>
  <c r="D55" i="21" a="1"/>
  <c r="D55" i="21" s="1"/>
  <c r="H55" i="21" s="1"/>
  <c r="E141" i="21" a="1"/>
  <c r="E141" i="21" s="1"/>
  <c r="I141" i="21" s="1"/>
  <c r="D140" i="21" a="1"/>
  <c r="D140" i="21" s="1"/>
  <c r="H140" i="21" s="1"/>
  <c r="E143" i="21" a="1"/>
  <c r="E143" i="21" s="1"/>
  <c r="I143" i="21" s="1"/>
  <c r="D142" i="21" a="1"/>
  <c r="D142" i="21" s="1"/>
  <c r="H142" i="21" s="1"/>
  <c r="E139" i="21" a="1"/>
  <c r="E139" i="21" s="1"/>
  <c r="I139" i="21" s="1"/>
  <c r="D138" i="21" a="1"/>
  <c r="D138" i="21" s="1"/>
  <c r="D139" i="21" a="1"/>
  <c r="D139" i="21" s="1"/>
  <c r="H139" i="21" s="1"/>
  <c r="E82" i="21" a="1"/>
  <c r="E82" i="21" s="1"/>
  <c r="I82" i="21" s="1"/>
  <c r="B50" i="21"/>
  <c r="E53" i="21" s="1" a="1"/>
  <c r="E53" i="21" s="1"/>
  <c r="I53" i="21" s="1"/>
  <c r="E76" i="21" a="1"/>
  <c r="E76" i="21" s="1"/>
  <c r="I76" i="21" s="1"/>
  <c r="C117" i="21" a="1"/>
  <c r="C94" i="21"/>
  <c r="D73" i="21" a="1"/>
  <c r="D73" i="21" s="1"/>
  <c r="E74" i="21" a="1"/>
  <c r="E74" i="21" s="1"/>
  <c r="I74" i="21" s="1"/>
  <c r="E73" i="21" a="1"/>
  <c r="E73" i="21" s="1"/>
  <c r="D78" i="21" a="1"/>
  <c r="D78" i="21" s="1"/>
  <c r="H78" i="21" s="1"/>
  <c r="E78" i="21" a="1"/>
  <c r="E78" i="21" s="1"/>
  <c r="I78" i="21" s="1"/>
  <c r="B96" i="21"/>
  <c r="E101" i="21" s="1" a="1"/>
  <c r="E101" i="21" s="1"/>
  <c r="I101" i="21" s="1"/>
  <c r="B140" i="21"/>
  <c r="D147" i="21" s="1" a="1"/>
  <c r="D147" i="21" s="1"/>
  <c r="H147" i="21" s="1"/>
  <c r="E30" i="21" a="1"/>
  <c r="E30" i="21" s="1"/>
  <c r="I30" i="21" s="1"/>
  <c r="D29" i="21" l="1" a="1"/>
  <c r="D29" i="21" s="1"/>
  <c r="H29" i="21" s="1"/>
  <c r="D39" i="21" a="1"/>
  <c r="D39" i="21" s="1"/>
  <c r="E33" i="21" a="1"/>
  <c r="E33" i="21" s="1"/>
  <c r="I33" i="21" s="1"/>
  <c r="E34" i="21" a="1"/>
  <c r="E34" i="21" s="1"/>
  <c r="I34" i="21" s="1"/>
  <c r="H138" i="21"/>
  <c r="D150" i="21" a="1"/>
  <c r="D150" i="21" s="1"/>
  <c r="E94" i="21" a="1"/>
  <c r="E94" i="21" s="1"/>
  <c r="D144" i="21" a="1"/>
  <c r="D144" i="21" s="1"/>
  <c r="H144" i="21" s="1"/>
  <c r="D97" i="21" a="1"/>
  <c r="D97" i="21" s="1"/>
  <c r="H97" i="21" s="1"/>
  <c r="E36" i="21" a="1"/>
  <c r="E36" i="21" s="1"/>
  <c r="I36" i="21" s="1"/>
  <c r="D57" i="21" a="1"/>
  <c r="D57" i="21" s="1"/>
  <c r="H57" i="21" s="1"/>
  <c r="D52" i="21" a="1"/>
  <c r="D52" i="21" s="1"/>
  <c r="H52" i="21" s="1"/>
  <c r="E103" i="21" a="1"/>
  <c r="E103" i="21" s="1"/>
  <c r="I103" i="21" s="1"/>
  <c r="D98" i="21" a="1"/>
  <c r="D98" i="21" s="1"/>
  <c r="H98" i="21" s="1"/>
  <c r="D146" i="21" a="1"/>
  <c r="D146" i="21" s="1"/>
  <c r="H146" i="21" s="1"/>
  <c r="E147" i="21" a="1"/>
  <c r="E147" i="21" s="1"/>
  <c r="I147" i="21" s="1"/>
  <c r="E100" i="21" a="1"/>
  <c r="E100" i="21" s="1"/>
  <c r="I100" i="21" s="1"/>
  <c r="D76" i="21" a="1"/>
  <c r="D76" i="21" s="1"/>
  <c r="H76" i="21" s="1"/>
  <c r="D82" i="21" a="1"/>
  <c r="D82" i="21" s="1"/>
  <c r="H82" i="21" s="1"/>
  <c r="E77" i="21" a="1"/>
  <c r="E77" i="21" s="1"/>
  <c r="I77" i="21" s="1"/>
  <c r="I73" i="21"/>
  <c r="H73" i="21"/>
  <c r="D77" i="21" a="1"/>
  <c r="D77" i="21" s="1"/>
  <c r="H77" i="21" s="1"/>
  <c r="D85" i="21" a="1"/>
  <c r="D85" i="21" s="1"/>
  <c r="E75" i="21" a="1"/>
  <c r="E75" i="21" s="1"/>
  <c r="I75" i="21" s="1"/>
  <c r="E81" i="21" a="1"/>
  <c r="E81" i="21" s="1"/>
  <c r="I81" i="21" s="1"/>
  <c r="D80" i="21" a="1"/>
  <c r="D80" i="21" s="1"/>
  <c r="H80" i="21" s="1"/>
  <c r="D74" i="21" a="1"/>
  <c r="D74" i="21" s="1"/>
  <c r="H74" i="21" s="1"/>
  <c r="E28" i="21" a="1"/>
  <c r="E28" i="21" s="1"/>
  <c r="I28" i="21" s="1"/>
  <c r="E138" i="21" a="1"/>
  <c r="E138" i="21" s="1"/>
  <c r="D81" i="21" a="1"/>
  <c r="D81" i="21" s="1"/>
  <c r="H81" i="21" s="1"/>
  <c r="D27" i="21" a="1"/>
  <c r="D27" i="21" s="1"/>
  <c r="D143" i="21" a="1"/>
  <c r="D143" i="21" s="1"/>
  <c r="H143" i="21" s="1"/>
  <c r="D50" i="21" a="1"/>
  <c r="D50" i="21" s="1"/>
  <c r="H50" i="21" s="1"/>
  <c r="E96" i="21" a="1"/>
  <c r="E96" i="21" s="1"/>
  <c r="I96" i="21" s="1"/>
  <c r="E99" i="21" a="1"/>
  <c r="E99" i="21" s="1"/>
  <c r="I99" i="21" s="1"/>
  <c r="C117" i="21"/>
  <c r="D99" i="21" a="1"/>
  <c r="D99" i="21" s="1"/>
  <c r="H99" i="21" s="1"/>
  <c r="E32" i="21" a="1"/>
  <c r="E32" i="21" s="1"/>
  <c r="I32" i="21" s="1"/>
  <c r="D31" i="21" a="1"/>
  <c r="D31" i="21" s="1"/>
  <c r="H31" i="21" s="1"/>
  <c r="D36" i="21" a="1"/>
  <c r="D36" i="21" s="1"/>
  <c r="H36" i="21" s="1"/>
  <c r="E29" i="21" a="1"/>
  <c r="E29" i="21" s="1"/>
  <c r="I29" i="21" s="1"/>
  <c r="D30" i="21" a="1"/>
  <c r="D30" i="21" s="1"/>
  <c r="H30" i="21" s="1"/>
  <c r="D28" i="21" a="1"/>
  <c r="D28" i="21" s="1"/>
  <c r="H28" i="21" s="1"/>
  <c r="E31" i="21" a="1"/>
  <c r="E31" i="21" s="1"/>
  <c r="I31" i="21" s="1"/>
  <c r="D34" i="21" a="1"/>
  <c r="D34" i="21" s="1"/>
  <c r="H34" i="21" s="1"/>
  <c r="E35" i="21" a="1"/>
  <c r="E35" i="21" s="1"/>
  <c r="I35" i="21" s="1"/>
  <c r="D33" i="21" a="1"/>
  <c r="D33" i="21" s="1"/>
  <c r="H33" i="21" s="1"/>
  <c r="E145" i="21" a="1"/>
  <c r="E145" i="21" s="1"/>
  <c r="I145" i="21" s="1"/>
  <c r="D75" i="21" a="1"/>
  <c r="D75" i="21" s="1"/>
  <c r="H75" i="21" s="1"/>
  <c r="E79" i="21" a="1"/>
  <c r="E79" i="21" s="1"/>
  <c r="I79" i="21" s="1"/>
  <c r="E50" i="21" a="1"/>
  <c r="E50" i="21" s="1"/>
  <c r="I50" i="21" s="1"/>
  <c r="D49" i="21" a="1"/>
  <c r="D49" i="21" s="1"/>
  <c r="H49" i="21" s="1"/>
  <c r="E144" i="21" a="1"/>
  <c r="E144" i="21" s="1"/>
  <c r="I144" i="21" s="1"/>
  <c r="D56" i="21" a="1"/>
  <c r="D56" i="21" s="1"/>
  <c r="H56" i="21" s="1"/>
  <c r="D51" i="21" a="1"/>
  <c r="D51" i="21" s="1"/>
  <c r="H51" i="21" s="1"/>
  <c r="D101" i="21" a="1"/>
  <c r="D101" i="21" s="1"/>
  <c r="H101" i="21" s="1"/>
  <c r="D103" i="21" a="1"/>
  <c r="D103" i="21" s="1"/>
  <c r="H103" i="21" s="1"/>
  <c r="H48" i="21"/>
  <c r="D60" i="21" a="1"/>
  <c r="D60" i="21" s="1"/>
  <c r="I48" i="21"/>
  <c r="E52" i="21" a="1"/>
  <c r="E52" i="21" s="1"/>
  <c r="I52" i="21" s="1"/>
  <c r="E102" i="21" a="1"/>
  <c r="E102" i="21" s="1"/>
  <c r="I102" i="21" s="1"/>
  <c r="E98" i="21" a="1"/>
  <c r="E98" i="21" s="1"/>
  <c r="I98" i="21" s="1"/>
  <c r="D95" i="21" a="1"/>
  <c r="D95" i="21" s="1"/>
  <c r="H95" i="21" s="1"/>
  <c r="D96" i="21" a="1"/>
  <c r="D96" i="21" s="1"/>
  <c r="H96" i="21" s="1"/>
  <c r="E140" i="21" a="1"/>
  <c r="E140" i="21" s="1"/>
  <c r="I140" i="21" s="1"/>
  <c r="D141" i="21" a="1"/>
  <c r="D141" i="21" s="1"/>
  <c r="H141" i="21" s="1"/>
  <c r="D94" i="21" a="1"/>
  <c r="D94" i="21" s="1"/>
  <c r="E80" i="21" a="1"/>
  <c r="E80" i="21" s="1"/>
  <c r="I80" i="21" s="1"/>
  <c r="I94" i="21"/>
  <c r="H94" i="21"/>
  <c r="D106" i="21" a="1"/>
  <c r="D106" i="21" s="1"/>
  <c r="D145" i="21" a="1"/>
  <c r="D145" i="21" s="1"/>
  <c r="H145" i="21" s="1"/>
  <c r="E142" i="21" a="1"/>
  <c r="E142" i="21" s="1"/>
  <c r="I142" i="21" s="1"/>
  <c r="E49" i="21" a="1"/>
  <c r="E49" i="21" s="1"/>
  <c r="I49" i="21" s="1"/>
  <c r="E95" i="21" a="1"/>
  <c r="E95" i="21" s="1"/>
  <c r="I95" i="21" s="1"/>
  <c r="D102" i="21" a="1"/>
  <c r="D102" i="21" s="1"/>
  <c r="H102" i="21" s="1"/>
  <c r="E97" i="21" a="1"/>
  <c r="E97" i="21" s="1"/>
  <c r="I97" i="21" s="1"/>
  <c r="D32" i="21" a="1"/>
  <c r="D32" i="21" s="1"/>
  <c r="H32" i="21" s="1"/>
  <c r="E27" i="21" a="1"/>
  <c r="E27" i="21" s="1"/>
  <c r="D79" i="21" a="1"/>
  <c r="D79" i="21" s="1"/>
  <c r="H79" i="21" s="1"/>
  <c r="E146" i="21" a="1"/>
  <c r="E146" i="21" s="1"/>
  <c r="I146" i="21" s="1"/>
  <c r="D54" i="21" a="1"/>
  <c r="D54" i="21" s="1"/>
  <c r="H54" i="21" s="1"/>
  <c r="D100" i="21" a="1"/>
  <c r="D100" i="21" s="1"/>
  <c r="H100" i="21" s="1"/>
  <c r="F42" i="21" l="1"/>
  <c r="E42" i="21"/>
  <c r="F88" i="21"/>
  <c r="E88" i="21"/>
  <c r="F77" i="21"/>
  <c r="J77" i="21" s="1"/>
  <c r="F78" i="21"/>
  <c r="J78" i="21" s="1"/>
  <c r="F79" i="21"/>
  <c r="J79" i="21" s="1"/>
  <c r="F73" i="21"/>
  <c r="F80" i="21"/>
  <c r="J80" i="21" s="1"/>
  <c r="F74" i="21"/>
  <c r="J74" i="21" s="1"/>
  <c r="F81" i="21"/>
  <c r="J81" i="21" s="1"/>
  <c r="F75" i="21"/>
  <c r="J75" i="21" s="1"/>
  <c r="F82" i="21"/>
  <c r="J82" i="21" s="1"/>
  <c r="F76" i="21"/>
  <c r="J76" i="21" s="1"/>
  <c r="F33" i="21"/>
  <c r="J33" i="21" s="1"/>
  <c r="F27" i="21"/>
  <c r="F34" i="21"/>
  <c r="J34" i="21" s="1"/>
  <c r="F28" i="21"/>
  <c r="J28" i="21" s="1"/>
  <c r="F35" i="21"/>
  <c r="J35" i="21" s="1"/>
  <c r="F29" i="21"/>
  <c r="J29" i="21" s="1"/>
  <c r="F31" i="21"/>
  <c r="J31" i="21" s="1"/>
  <c r="F32" i="21"/>
  <c r="J32" i="21" s="1"/>
  <c r="F36" i="21"/>
  <c r="J36" i="21" s="1"/>
  <c r="F30" i="21"/>
  <c r="J30" i="21" s="1"/>
  <c r="E109" i="21"/>
  <c r="H27" i="21"/>
  <c r="F153" i="21"/>
  <c r="E63" i="21"/>
  <c r="F53" i="21"/>
  <c r="J53" i="21" s="1"/>
  <c r="F54" i="21"/>
  <c r="J54" i="21" s="1"/>
  <c r="F48" i="21"/>
  <c r="F55" i="21"/>
  <c r="J55" i="21" s="1"/>
  <c r="F49" i="21"/>
  <c r="J49" i="21" s="1"/>
  <c r="F56" i="21"/>
  <c r="J56" i="21" s="1"/>
  <c r="F50" i="21"/>
  <c r="J50" i="21" s="1"/>
  <c r="F57" i="21"/>
  <c r="J57" i="21" s="1"/>
  <c r="F52" i="21"/>
  <c r="J52" i="21" s="1"/>
  <c r="F51" i="21"/>
  <c r="J51" i="21" s="1"/>
  <c r="F109" i="21"/>
  <c r="F142" i="21"/>
  <c r="J142" i="21" s="1"/>
  <c r="F143" i="21"/>
  <c r="J143" i="21" s="1"/>
  <c r="F144" i="21"/>
  <c r="J144" i="21" s="1"/>
  <c r="F138" i="21"/>
  <c r="F145" i="21"/>
  <c r="J145" i="21" s="1"/>
  <c r="F139" i="21"/>
  <c r="J139" i="21" s="1"/>
  <c r="F146" i="21"/>
  <c r="J146" i="21" s="1"/>
  <c r="F140" i="21"/>
  <c r="J140" i="21" s="1"/>
  <c r="F147" i="21"/>
  <c r="J147" i="21" s="1"/>
  <c r="F141" i="21"/>
  <c r="J141" i="21" s="1"/>
  <c r="F98" i="21"/>
  <c r="J98" i="21" s="1"/>
  <c r="F99" i="21"/>
  <c r="J99" i="21" s="1"/>
  <c r="F100" i="21"/>
  <c r="J100" i="21" s="1"/>
  <c r="F94" i="21"/>
  <c r="F101" i="21"/>
  <c r="J101" i="21" s="1"/>
  <c r="F95" i="21"/>
  <c r="J95" i="21" s="1"/>
  <c r="F102" i="21"/>
  <c r="J102" i="21" s="1"/>
  <c r="F96" i="21"/>
  <c r="J96" i="21" s="1"/>
  <c r="F103" i="21"/>
  <c r="J103" i="21" s="1"/>
  <c r="F97" i="21"/>
  <c r="J97" i="21" s="1"/>
  <c r="I27" i="21"/>
  <c r="D126" i="21" a="1"/>
  <c r="D126" i="21" s="1"/>
  <c r="H126" i="21" s="1"/>
  <c r="E121" i="21" a="1"/>
  <c r="E121" i="21" s="1"/>
  <c r="I121" i="21" s="1"/>
  <c r="D120" i="21" a="1"/>
  <c r="D120" i="21" s="1"/>
  <c r="H120" i="21" s="1"/>
  <c r="D129" i="21" a="1"/>
  <c r="D129" i="21" s="1"/>
  <c r="D124" i="21" a="1"/>
  <c r="D124" i="21" s="1"/>
  <c r="H124" i="21" s="1"/>
  <c r="E119" i="21" a="1"/>
  <c r="E119" i="21" s="1"/>
  <c r="I119" i="21" s="1"/>
  <c r="D118" i="21" a="1"/>
  <c r="D118" i="21" s="1"/>
  <c r="H118" i="21" s="1"/>
  <c r="E125" i="21" a="1"/>
  <c r="E125" i="21" s="1"/>
  <c r="I125" i="21" s="1"/>
  <c r="D121" i="21" a="1"/>
  <c r="D121" i="21" s="1"/>
  <c r="H121" i="21" s="1"/>
  <c r="E126" i="21" a="1"/>
  <c r="E126" i="21" s="1"/>
  <c r="I126" i="21" s="1"/>
  <c r="D117" i="21" a="1"/>
  <c r="D117" i="21" s="1"/>
  <c r="E118" i="21" a="1"/>
  <c r="E118" i="21" s="1"/>
  <c r="I118" i="21" s="1"/>
  <c r="E117" i="21" a="1"/>
  <c r="E117" i="21" s="1"/>
  <c r="E123" i="21" a="1"/>
  <c r="E123" i="21" s="1"/>
  <c r="I123" i="21" s="1"/>
  <c r="D123" i="21" a="1"/>
  <c r="D123" i="21" s="1"/>
  <c r="H123" i="21" s="1"/>
  <c r="E122" i="21" a="1"/>
  <c r="E122" i="21" s="1"/>
  <c r="I122" i="21" s="1"/>
  <c r="D125" i="21" a="1"/>
  <c r="D125" i="21" s="1"/>
  <c r="H125" i="21" s="1"/>
  <c r="E124" i="21" a="1"/>
  <c r="E124" i="21" s="1"/>
  <c r="I124" i="21" s="1"/>
  <c r="D119" i="21" a="1"/>
  <c r="D119" i="21" s="1"/>
  <c r="H119" i="21" s="1"/>
  <c r="E120" i="21" a="1"/>
  <c r="E120" i="21" s="1"/>
  <c r="I120" i="21" s="1"/>
  <c r="D122" i="21" a="1"/>
  <c r="D122" i="21" s="1"/>
  <c r="H122" i="21" s="1"/>
  <c r="F63" i="21"/>
  <c r="I138" i="21"/>
  <c r="E153" i="21"/>
  <c r="E132" i="21" l="1"/>
  <c r="H117" i="21"/>
  <c r="F132" i="21"/>
  <c r="H42" i="21"/>
  <c r="E43" i="21" s="1"/>
  <c r="E44" i="21" s="1"/>
  <c r="J27" i="21"/>
  <c r="E154" i="21"/>
  <c r="E155" i="21" s="1"/>
  <c r="H88" i="21"/>
  <c r="E89" i="21" s="1"/>
  <c r="E90" i="21" s="1"/>
  <c r="J73" i="21"/>
  <c r="F121" i="21"/>
  <c r="J121" i="21" s="1"/>
  <c r="F122" i="21"/>
  <c r="J122" i="21" s="1"/>
  <c r="F123" i="21"/>
  <c r="J123" i="21" s="1"/>
  <c r="F117" i="21"/>
  <c r="F124" i="21"/>
  <c r="J124" i="21" s="1"/>
  <c r="F118" i="21"/>
  <c r="J118" i="21" s="1"/>
  <c r="F125" i="21"/>
  <c r="J125" i="21" s="1"/>
  <c r="F119" i="21"/>
  <c r="J119" i="21" s="1"/>
  <c r="F126" i="21"/>
  <c r="J126" i="21" s="1"/>
  <c r="F120" i="21"/>
  <c r="J120" i="21" s="1"/>
  <c r="H153" i="21"/>
  <c r="J138" i="21"/>
  <c r="H63" i="21"/>
  <c r="E64" i="21" s="1"/>
  <c r="E65" i="21" s="1"/>
  <c r="J48" i="21"/>
  <c r="I117" i="21"/>
  <c r="H109" i="21"/>
  <c r="E110" i="21" s="1"/>
  <c r="E111" i="21" s="1"/>
  <c r="J94" i="21"/>
  <c r="H132" i="21" l="1"/>
  <c r="E133" i="21" s="1"/>
  <c r="E134" i="21" s="1"/>
  <c r="J117" i="21"/>
  <c r="E36" i="13" l="1"/>
  <c r="C36" i="13"/>
  <c r="H22" i="13"/>
  <c r="C170" i="10" l="1"/>
  <c r="B169" i="10"/>
  <c r="M159" i="10"/>
  <c r="M160" i="10"/>
  <c r="M161" i="10"/>
  <c r="M162" i="10"/>
  <c r="M163" i="10"/>
  <c r="M164" i="10"/>
  <c r="M165" i="10"/>
  <c r="M166" i="10"/>
  <c r="M167" i="10"/>
  <c r="M158" i="10"/>
  <c r="M138" i="10"/>
  <c r="M139" i="10"/>
  <c r="M140" i="10"/>
  <c r="M141" i="10"/>
  <c r="M142" i="10"/>
  <c r="M143" i="10"/>
  <c r="M144" i="10"/>
  <c r="M145" i="10"/>
  <c r="M146" i="10"/>
  <c r="C149" i="10"/>
  <c r="C126" i="10"/>
  <c r="C105" i="10"/>
  <c r="C80" i="10"/>
  <c r="C108" i="10"/>
  <c r="N138" i="10" l="1"/>
  <c r="N140" i="10"/>
  <c r="N143" i="10"/>
  <c r="N145" i="10"/>
  <c r="M137" i="10"/>
  <c r="N137" i="10" s="1"/>
  <c r="N142" i="10"/>
  <c r="N146" i="10"/>
  <c r="N144" i="10"/>
  <c r="N141" i="10"/>
  <c r="N139" i="10"/>
  <c r="M116" i="10"/>
  <c r="N116" i="10" s="1"/>
  <c r="M117" i="10"/>
  <c r="N117" i="10" s="1"/>
  <c r="M118" i="10"/>
  <c r="N118" i="10" s="1"/>
  <c r="M119" i="10"/>
  <c r="N119" i="10" s="1"/>
  <c r="M120" i="10"/>
  <c r="N120" i="10" s="1"/>
  <c r="M121" i="10"/>
  <c r="N121" i="10" s="1"/>
  <c r="M122" i="10"/>
  <c r="N122" i="10" s="1"/>
  <c r="M123" i="10"/>
  <c r="N123" i="10" s="1"/>
  <c r="M124" i="10"/>
  <c r="N124" i="10" s="1"/>
  <c r="M115" i="10"/>
  <c r="N115" i="10" s="1"/>
  <c r="M94" i="10"/>
  <c r="M95" i="10"/>
  <c r="M96" i="10"/>
  <c r="M97" i="10"/>
  <c r="M98" i="10"/>
  <c r="M99" i="10"/>
  <c r="M100" i="10"/>
  <c r="M101" i="10"/>
  <c r="M102" i="10"/>
  <c r="M103" i="10"/>
  <c r="N148" i="10" l="1"/>
  <c r="N126" i="10"/>
  <c r="N95" i="10"/>
  <c r="N96" i="10"/>
  <c r="N97" i="10"/>
  <c r="N98" i="10"/>
  <c r="N99" i="10"/>
  <c r="N100" i="10"/>
  <c r="N101" i="10"/>
  <c r="N94" i="10"/>
  <c r="N103" i="10"/>
  <c r="N102" i="10"/>
  <c r="N105" i="10" l="1"/>
  <c r="H43" i="10" l="1"/>
  <c r="M70" i="10"/>
  <c r="N70" i="10" s="1"/>
  <c r="M71" i="10"/>
  <c r="N71" i="10" s="1"/>
  <c r="M72" i="10"/>
  <c r="N72" i="10" s="1"/>
  <c r="M73" i="10"/>
  <c r="N73" i="10" s="1"/>
  <c r="M74" i="10"/>
  <c r="N74" i="10" s="1"/>
  <c r="M75" i="10"/>
  <c r="N75" i="10" s="1"/>
  <c r="M76" i="10"/>
  <c r="N76" i="10" s="1"/>
  <c r="M77" i="10"/>
  <c r="N77" i="10" s="1"/>
  <c r="M78" i="10"/>
  <c r="N78" i="10" s="1"/>
  <c r="M69" i="10"/>
  <c r="N69" i="10" s="1"/>
  <c r="A161" i="10"/>
  <c r="A162" i="10" s="1"/>
  <c r="A163" i="10" s="1"/>
  <c r="A164" i="10" s="1"/>
  <c r="A165" i="10" s="1"/>
  <c r="A166" i="10" s="1"/>
  <c r="A167" i="10" s="1"/>
  <c r="A168" i="10" s="1"/>
  <c r="A169" i="10" s="1"/>
  <c r="B148" i="10"/>
  <c r="B147" i="10"/>
  <c r="B168" i="10" s="1"/>
  <c r="B146" i="10"/>
  <c r="B167" i="10" s="1"/>
  <c r="B145" i="10"/>
  <c r="B166" i="10" s="1"/>
  <c r="B144" i="10"/>
  <c r="B165" i="10" s="1"/>
  <c r="B143" i="10"/>
  <c r="B142" i="10"/>
  <c r="B163" i="10" s="1"/>
  <c r="B141" i="10"/>
  <c r="B162" i="10" s="1"/>
  <c r="B140" i="10"/>
  <c r="B161" i="10" s="1"/>
  <c r="A140" i="10"/>
  <c r="A141" i="10" s="1"/>
  <c r="A142" i="10" s="1"/>
  <c r="A143" i="10" s="1"/>
  <c r="A144" i="10" s="1"/>
  <c r="A145" i="10" s="1"/>
  <c r="A146" i="10" s="1"/>
  <c r="A147" i="10" s="1"/>
  <c r="A148" i="10" s="1"/>
  <c r="B139" i="10"/>
  <c r="A117" i="10"/>
  <c r="A118" i="10" s="1"/>
  <c r="A119" i="10" s="1"/>
  <c r="A120" i="10" s="1"/>
  <c r="A121" i="10" s="1"/>
  <c r="A122" i="10" s="1"/>
  <c r="A123" i="10" s="1"/>
  <c r="A124" i="10" s="1"/>
  <c r="A125" i="10" s="1"/>
  <c r="B104" i="10"/>
  <c r="B125" i="10" s="1"/>
  <c r="B103" i="10"/>
  <c r="B124" i="10" s="1"/>
  <c r="B102" i="10"/>
  <c r="B123" i="10" s="1"/>
  <c r="B101" i="10"/>
  <c r="B122" i="10" s="1"/>
  <c r="B100" i="10"/>
  <c r="B121" i="10" s="1"/>
  <c r="B99" i="10"/>
  <c r="B98" i="10"/>
  <c r="B119" i="10" s="1"/>
  <c r="B97" i="10"/>
  <c r="B118" i="10" s="1"/>
  <c r="B96" i="10"/>
  <c r="B117" i="10" s="1"/>
  <c r="A96" i="10"/>
  <c r="A97" i="10" s="1"/>
  <c r="A98" i="10" s="1"/>
  <c r="A99" i="10" s="1"/>
  <c r="A100" i="10" s="1"/>
  <c r="A101" i="10" s="1"/>
  <c r="A102" i="10" s="1"/>
  <c r="A103" i="10" s="1"/>
  <c r="A104" i="10" s="1"/>
  <c r="C95" i="10" a="1"/>
  <c r="B95" i="10"/>
  <c r="A71" i="10"/>
  <c r="A72" i="10" s="1"/>
  <c r="A73" i="10" s="1"/>
  <c r="A74" i="10" s="1"/>
  <c r="A75" i="10" s="1"/>
  <c r="A76" i="10" s="1"/>
  <c r="A77" i="10" s="1"/>
  <c r="A78" i="10" s="1"/>
  <c r="A79" i="10" s="1"/>
  <c r="B58" i="10"/>
  <c r="B79" i="10" s="1"/>
  <c r="B57" i="10"/>
  <c r="B78" i="10" s="1"/>
  <c r="B56" i="10"/>
  <c r="B77" i="10" s="1"/>
  <c r="B55" i="10"/>
  <c r="B76" i="10" s="1"/>
  <c r="B54" i="10"/>
  <c r="B75" i="10" s="1"/>
  <c r="B53" i="10"/>
  <c r="B52" i="10"/>
  <c r="B73" i="10" s="1"/>
  <c r="B51" i="10"/>
  <c r="B72" i="10" s="1"/>
  <c r="B50" i="10"/>
  <c r="B71" i="10" s="1"/>
  <c r="A50" i="10"/>
  <c r="A51" i="10" s="1"/>
  <c r="A52" i="10" s="1"/>
  <c r="A53" i="10" s="1"/>
  <c r="A54" i="10" s="1"/>
  <c r="A55" i="10" s="1"/>
  <c r="A56" i="10" s="1"/>
  <c r="A57" i="10" s="1"/>
  <c r="A58" i="10" s="1"/>
  <c r="C49" i="10" a="1"/>
  <c r="B49" i="10"/>
  <c r="H41" i="10"/>
  <c r="G41" i="10"/>
  <c r="H40" i="10"/>
  <c r="G40" i="10"/>
  <c r="H39" i="10"/>
  <c r="G39" i="10"/>
  <c r="H38" i="10"/>
  <c r="G38" i="10"/>
  <c r="H37" i="10"/>
  <c r="G37" i="10"/>
  <c r="H36" i="10"/>
  <c r="G36" i="10"/>
  <c r="H35" i="10"/>
  <c r="G35" i="10"/>
  <c r="H34" i="10"/>
  <c r="G34" i="10"/>
  <c r="H33" i="10"/>
  <c r="C116" i="10" s="1" a="1"/>
  <c r="G33" i="10"/>
  <c r="H32" i="10"/>
  <c r="C160" i="10" s="1" a="1"/>
  <c r="G32" i="10"/>
  <c r="H15" i="10"/>
  <c r="H13" i="10"/>
  <c r="G13" i="10"/>
  <c r="H12" i="10"/>
  <c r="G12" i="10"/>
  <c r="H11" i="10"/>
  <c r="G11" i="10"/>
  <c r="B11" i="10"/>
  <c r="H10" i="10"/>
  <c r="G10" i="10"/>
  <c r="B10" i="10"/>
  <c r="B9" i="10" s="1"/>
  <c r="B8" i="10" s="1"/>
  <c r="B7" i="10" s="1"/>
  <c r="B6" i="10" s="1"/>
  <c r="B5" i="10" s="1"/>
  <c r="B4" i="10" s="1"/>
  <c r="H9" i="10"/>
  <c r="G9" i="10"/>
  <c r="H8" i="10"/>
  <c r="G8" i="10"/>
  <c r="H7" i="10"/>
  <c r="G7" i="10"/>
  <c r="H6" i="10"/>
  <c r="G6" i="10"/>
  <c r="H5" i="10"/>
  <c r="G5" i="10"/>
  <c r="H4" i="10"/>
  <c r="C139" i="10" s="1" a="1"/>
  <c r="G4" i="10"/>
  <c r="N80" i="10" l="1"/>
  <c r="C160" i="10"/>
  <c r="C116" i="10"/>
  <c r="E100" i="10" a="1"/>
  <c r="E100" i="10" s="1"/>
  <c r="I100" i="10" s="1"/>
  <c r="C139" i="10"/>
  <c r="E142" i="10" s="1" a="1"/>
  <c r="E142" i="10" s="1"/>
  <c r="I142" i="10" s="1"/>
  <c r="D104" i="10" a="1"/>
  <c r="D104" i="10" s="1"/>
  <c r="B70" i="10"/>
  <c r="B116" i="10"/>
  <c r="B160" i="10"/>
  <c r="C70" i="10" a="1"/>
  <c r="E147" i="10" a="1"/>
  <c r="E147" i="10" s="1"/>
  <c r="I147" i="10" s="1"/>
  <c r="E103" i="10" a="1"/>
  <c r="E103" i="10" s="1"/>
  <c r="I103" i="10" s="1"/>
  <c r="C49" i="10"/>
  <c r="D49" i="10" s="1" a="1"/>
  <c r="D49" i="10" s="1"/>
  <c r="C95" i="10"/>
  <c r="H104" i="10"/>
  <c r="E56" i="10" a="1"/>
  <c r="E56" i="10" s="1"/>
  <c r="D95" i="10" a="1"/>
  <c r="D95" i="10" s="1"/>
  <c r="E96" i="10" a="1"/>
  <c r="E96" i="10" s="1"/>
  <c r="D101" i="10" a="1"/>
  <c r="D101" i="10" s="1"/>
  <c r="H101" i="10" s="1"/>
  <c r="E102" i="10" a="1"/>
  <c r="E102" i="10" s="1"/>
  <c r="I102" i="10" s="1"/>
  <c r="E140" i="10" a="1"/>
  <c r="E140" i="10" s="1"/>
  <c r="I140" i="10" s="1"/>
  <c r="E50" i="10" a="1"/>
  <c r="E50" i="10" s="1"/>
  <c r="I50" i="10" s="1"/>
  <c r="D55" i="10" a="1"/>
  <c r="D55" i="10" s="1"/>
  <c r="E95" i="10" a="1"/>
  <c r="E95" i="10" s="1"/>
  <c r="D100" i="10" a="1"/>
  <c r="D100" i="10" s="1"/>
  <c r="H100" i="10" s="1"/>
  <c r="E101" i="10" a="1"/>
  <c r="E101" i="10" s="1"/>
  <c r="E139" i="10" a="1"/>
  <c r="E139" i="10" s="1"/>
  <c r="B164" i="10"/>
  <c r="D53" i="10" a="1"/>
  <c r="D53" i="10" s="1"/>
  <c r="H53" i="10" s="1"/>
  <c r="I56" i="10"/>
  <c r="I96" i="10"/>
  <c r="D99" i="10" a="1"/>
  <c r="D99" i="10" s="1"/>
  <c r="H99" i="10" s="1"/>
  <c r="D143" i="10" a="1"/>
  <c r="D143" i="10" s="1"/>
  <c r="H143" i="10" s="1"/>
  <c r="B74" i="10"/>
  <c r="B120" i="10"/>
  <c r="H55" i="10"/>
  <c r="D52" i="10" a="1"/>
  <c r="D52" i="10" s="1"/>
  <c r="H52" i="10" s="1"/>
  <c r="E53" i="10" a="1"/>
  <c r="E53" i="10" s="1"/>
  <c r="I53" i="10" s="1"/>
  <c r="D98" i="10" a="1"/>
  <c r="D98" i="10" s="1"/>
  <c r="H98" i="10" s="1"/>
  <c r="E99" i="10" a="1"/>
  <c r="E99" i="10" s="1"/>
  <c r="I99" i="10" s="1"/>
  <c r="I101" i="10"/>
  <c r="D142" i="10" a="1"/>
  <c r="D142" i="10" s="1"/>
  <c r="H142" i="10" s="1"/>
  <c r="E143" i="10" a="1"/>
  <c r="E143" i="10" s="1"/>
  <c r="I143" i="10" s="1"/>
  <c r="D72" i="10" l="1" a="1"/>
  <c r="D72" i="10" s="1"/>
  <c r="D79" i="10" a="1"/>
  <c r="D79" i="10" s="1"/>
  <c r="H79" i="10" s="1"/>
  <c r="D71" i="10" a="1"/>
  <c r="D71" i="10" s="1"/>
  <c r="D78" i="10" a="1"/>
  <c r="D78" i="10" s="1"/>
  <c r="H78" i="10" s="1"/>
  <c r="D75" i="10" a="1"/>
  <c r="D75" i="10" s="1"/>
  <c r="D76" i="10" a="1"/>
  <c r="D76" i="10" s="1"/>
  <c r="H76" i="10" s="1"/>
  <c r="E77" i="10" a="1"/>
  <c r="E77" i="10" s="1"/>
  <c r="I77" i="10" s="1"/>
  <c r="E72" i="10" a="1"/>
  <c r="E72" i="10" s="1"/>
  <c r="D77" i="10" a="1"/>
  <c r="D77" i="10" s="1"/>
  <c r="E146" i="10" a="1"/>
  <c r="E146" i="10" s="1"/>
  <c r="I146" i="10" s="1"/>
  <c r="D145" i="10" a="1"/>
  <c r="D145" i="10" s="1"/>
  <c r="H145" i="10" s="1"/>
  <c r="D141" i="10" a="1"/>
  <c r="D141" i="10" s="1"/>
  <c r="H141" i="10" s="1"/>
  <c r="E145" i="10" a="1"/>
  <c r="E145" i="10" s="1"/>
  <c r="I145" i="10" s="1"/>
  <c r="D139" i="10" a="1"/>
  <c r="D139" i="10" s="1"/>
  <c r="E154" i="10" s="1"/>
  <c r="D146" i="10" a="1"/>
  <c r="D146" i="10" s="1"/>
  <c r="H146" i="10" s="1"/>
  <c r="D147" i="10" a="1"/>
  <c r="D147" i="10" s="1"/>
  <c r="H147" i="10" s="1"/>
  <c r="D128" i="10" a="1"/>
  <c r="D128" i="10" s="1"/>
  <c r="D144" i="10" a="1"/>
  <c r="D144" i="10" s="1"/>
  <c r="H144" i="10" s="1"/>
  <c r="E141" i="10" a="1"/>
  <c r="E141" i="10" s="1"/>
  <c r="I141" i="10" s="1"/>
  <c r="H75" i="10"/>
  <c r="H71" i="10"/>
  <c r="H77" i="10"/>
  <c r="I72" i="10"/>
  <c r="H72" i="10"/>
  <c r="C70" i="10"/>
  <c r="E74" i="10" s="1" a="1"/>
  <c r="E74" i="10" s="1"/>
  <c r="I74" i="10" s="1"/>
  <c r="D140" i="10" a="1"/>
  <c r="D140" i="10" s="1"/>
  <c r="H140" i="10" s="1"/>
  <c r="D148" i="10" a="1"/>
  <c r="D148" i="10" s="1"/>
  <c r="H148" i="10" s="1"/>
  <c r="E104" i="10" a="1"/>
  <c r="E104" i="10" s="1"/>
  <c r="I104" i="10" s="1"/>
  <c r="I95" i="10"/>
  <c r="H95" i="10"/>
  <c r="E98" i="10" a="1"/>
  <c r="E98" i="10" s="1"/>
  <c r="I98" i="10" s="1"/>
  <c r="D107" i="10" a="1"/>
  <c r="D107" i="10" s="1"/>
  <c r="D103" i="10" a="1"/>
  <c r="D103" i="10" s="1"/>
  <c r="H103" i="10" s="1"/>
  <c r="D102" i="10" a="1"/>
  <c r="D102" i="10" s="1"/>
  <c r="H102" i="10" s="1"/>
  <c r="E97" i="10" a="1"/>
  <c r="E97" i="10" s="1"/>
  <c r="I97" i="10" s="1"/>
  <c r="D96" i="10" a="1"/>
  <c r="D96" i="10" s="1"/>
  <c r="H96" i="10" s="1"/>
  <c r="D97" i="10" a="1"/>
  <c r="D97" i="10" s="1"/>
  <c r="H97" i="10" s="1"/>
  <c r="D172" i="10" a="1"/>
  <c r="D172" i="10" s="1"/>
  <c r="E169" i="10" a="1"/>
  <c r="E169" i="10" s="1"/>
  <c r="I169" i="10" s="1"/>
  <c r="E163" i="10" a="1"/>
  <c r="E163" i="10" s="1"/>
  <c r="I163" i="10" s="1"/>
  <c r="D162" i="10" a="1"/>
  <c r="D162" i="10" s="1"/>
  <c r="H162" i="10" s="1"/>
  <c r="D169" i="10" a="1"/>
  <c r="D169" i="10" s="1"/>
  <c r="H169" i="10" s="1"/>
  <c r="E164" i="10" a="1"/>
  <c r="E164" i="10" s="1"/>
  <c r="I164" i="10" s="1"/>
  <c r="D163" i="10" a="1"/>
  <c r="D163" i="10" s="1"/>
  <c r="H163" i="10" s="1"/>
  <c r="E165" i="10" a="1"/>
  <c r="E165" i="10" s="1"/>
  <c r="I165" i="10" s="1"/>
  <c r="D164" i="10" a="1"/>
  <c r="D164" i="10" s="1"/>
  <c r="H164" i="10" s="1"/>
  <c r="E166" i="10" a="1"/>
  <c r="E166" i="10" s="1"/>
  <c r="I166" i="10" s="1"/>
  <c r="D165" i="10" a="1"/>
  <c r="D165" i="10" s="1"/>
  <c r="H165" i="10" s="1"/>
  <c r="E160" i="10" a="1"/>
  <c r="E160" i="10" s="1"/>
  <c r="I160" i="10" s="1"/>
  <c r="E167" i="10" a="1"/>
  <c r="E167" i="10" s="1"/>
  <c r="I167" i="10" s="1"/>
  <c r="D166" i="10" a="1"/>
  <c r="D166" i="10" s="1"/>
  <c r="H166" i="10" s="1"/>
  <c r="E161" i="10" a="1"/>
  <c r="E161" i="10" s="1"/>
  <c r="I161" i="10" s="1"/>
  <c r="D160" i="10" a="1"/>
  <c r="D160" i="10" s="1"/>
  <c r="E168" i="10" a="1"/>
  <c r="E168" i="10" s="1"/>
  <c r="I168" i="10" s="1"/>
  <c r="D167" i="10" a="1"/>
  <c r="D167" i="10" s="1"/>
  <c r="H167" i="10" s="1"/>
  <c r="E162" i="10" a="1"/>
  <c r="E162" i="10" s="1"/>
  <c r="I162" i="10" s="1"/>
  <c r="D161" i="10" a="1"/>
  <c r="D161" i="10" s="1"/>
  <c r="H161" i="10" s="1"/>
  <c r="D168" i="10" a="1"/>
  <c r="D168" i="10" s="1"/>
  <c r="H168" i="10" s="1"/>
  <c r="I139" i="10"/>
  <c r="D151" i="10" a="1"/>
  <c r="D151" i="10" s="1"/>
  <c r="E144" i="10" a="1"/>
  <c r="E144" i="10" s="1"/>
  <c r="I144" i="10" s="1"/>
  <c r="E125" i="10" a="1"/>
  <c r="E125" i="10" s="1"/>
  <c r="I125" i="10" s="1"/>
  <c r="D118" i="10" a="1"/>
  <c r="D118" i="10" s="1"/>
  <c r="H118" i="10" s="1"/>
  <c r="D125" i="10" a="1"/>
  <c r="D125" i="10" s="1"/>
  <c r="H125" i="10" s="1"/>
  <c r="E120" i="10" a="1"/>
  <c r="E120" i="10" s="1"/>
  <c r="I120" i="10" s="1"/>
  <c r="D119" i="10" a="1"/>
  <c r="D119" i="10" s="1"/>
  <c r="H119" i="10" s="1"/>
  <c r="E121" i="10" a="1"/>
  <c r="E121" i="10" s="1"/>
  <c r="I121" i="10" s="1"/>
  <c r="D120" i="10" a="1"/>
  <c r="D120" i="10" s="1"/>
  <c r="H120" i="10" s="1"/>
  <c r="E122" i="10" a="1"/>
  <c r="E122" i="10" s="1"/>
  <c r="I122" i="10" s="1"/>
  <c r="D121" i="10" a="1"/>
  <c r="D121" i="10" s="1"/>
  <c r="H121" i="10" s="1"/>
  <c r="E116" i="10" a="1"/>
  <c r="E116" i="10" s="1"/>
  <c r="E123" i="10" a="1"/>
  <c r="E123" i="10" s="1"/>
  <c r="I123" i="10" s="1"/>
  <c r="D122" i="10" a="1"/>
  <c r="D122" i="10" s="1"/>
  <c r="H122" i="10" s="1"/>
  <c r="E117" i="10" a="1"/>
  <c r="E117" i="10" s="1"/>
  <c r="I117" i="10" s="1"/>
  <c r="D116" i="10" a="1"/>
  <c r="D116" i="10" s="1"/>
  <c r="H116" i="10" s="1"/>
  <c r="D124" i="10" a="1"/>
  <c r="D124" i="10" s="1"/>
  <c r="H124" i="10" s="1"/>
  <c r="E124" i="10" a="1"/>
  <c r="E124" i="10" s="1"/>
  <c r="I124" i="10" s="1"/>
  <c r="D123" i="10" a="1"/>
  <c r="D123" i="10" s="1"/>
  <c r="H123" i="10" s="1"/>
  <c r="E118" i="10" a="1"/>
  <c r="E118" i="10" s="1"/>
  <c r="I118" i="10" s="1"/>
  <c r="D117" i="10" a="1"/>
  <c r="D117" i="10" s="1"/>
  <c r="H117" i="10" s="1"/>
  <c r="E119" i="10" a="1"/>
  <c r="E119" i="10" s="1"/>
  <c r="I119" i="10" s="1"/>
  <c r="E148" i="10" a="1"/>
  <c r="E148" i="10" s="1"/>
  <c r="I148" i="10" s="1"/>
  <c r="E49" i="10" a="1"/>
  <c r="E49" i="10" s="1"/>
  <c r="I49" i="10" s="1"/>
  <c r="E57" i="10" a="1"/>
  <c r="E57" i="10" s="1"/>
  <c r="I57" i="10" s="1"/>
  <c r="D51" i="10" a="1"/>
  <c r="D51" i="10" s="1"/>
  <c r="H51" i="10" s="1"/>
  <c r="H49" i="10"/>
  <c r="D54" i="10" a="1"/>
  <c r="D54" i="10" s="1"/>
  <c r="H54" i="10" s="1"/>
  <c r="E51" i="10" a="1"/>
  <c r="E51" i="10" s="1"/>
  <c r="I51" i="10" s="1"/>
  <c r="D57" i="10" a="1"/>
  <c r="D57" i="10" s="1"/>
  <c r="H57" i="10" s="1"/>
  <c r="D61" i="10" a="1"/>
  <c r="D61" i="10" s="1"/>
  <c r="E55" i="10" a="1"/>
  <c r="E55" i="10" s="1"/>
  <c r="I55" i="10" s="1"/>
  <c r="D50" i="10" a="1"/>
  <c r="D50" i="10" s="1"/>
  <c r="H50" i="10" s="1"/>
  <c r="D56" i="10" a="1"/>
  <c r="D56" i="10" s="1"/>
  <c r="H56" i="10" s="1"/>
  <c r="E52" i="10" a="1"/>
  <c r="E52" i="10" s="1"/>
  <c r="I52" i="10" s="1"/>
  <c r="E58" i="10" a="1"/>
  <c r="E58" i="10" s="1"/>
  <c r="I58" i="10" s="1"/>
  <c r="D58" i="10" a="1"/>
  <c r="D58" i="10" s="1"/>
  <c r="H58" i="10" s="1"/>
  <c r="E54" i="10" a="1"/>
  <c r="E54" i="10" s="1"/>
  <c r="I54" i="10" s="1"/>
  <c r="N160" i="10" l="1"/>
  <c r="N163" i="10"/>
  <c r="N164" i="10"/>
  <c r="N166" i="10"/>
  <c r="N158" i="10"/>
  <c r="N161" i="10"/>
  <c r="N165" i="10"/>
  <c r="N167" i="10"/>
  <c r="N162" i="10"/>
  <c r="N159" i="10"/>
  <c r="E175" i="10"/>
  <c r="F100" i="10"/>
  <c r="J100" i="10" s="1"/>
  <c r="F99" i="10"/>
  <c r="J99" i="10" s="1"/>
  <c r="F101" i="10"/>
  <c r="J101" i="10" s="1"/>
  <c r="F95" i="10"/>
  <c r="F102" i="10"/>
  <c r="J102" i="10" s="1"/>
  <c r="F96" i="10"/>
  <c r="J96" i="10" s="1"/>
  <c r="F103" i="10"/>
  <c r="J103" i="10" s="1"/>
  <c r="F97" i="10"/>
  <c r="J97" i="10" s="1"/>
  <c r="F104" i="10"/>
  <c r="J104" i="10" s="1"/>
  <c r="F98" i="10"/>
  <c r="J98" i="10" s="1"/>
  <c r="F154" i="10"/>
  <c r="E70" i="10" a="1"/>
  <c r="E70" i="10" s="1"/>
  <c r="E110" i="10"/>
  <c r="E76" i="10" a="1"/>
  <c r="E76" i="10" s="1"/>
  <c r="I76" i="10" s="1"/>
  <c r="F131" i="10"/>
  <c r="F143" i="10"/>
  <c r="J143" i="10" s="1"/>
  <c r="F144" i="10"/>
  <c r="J144" i="10" s="1"/>
  <c r="F145" i="10"/>
  <c r="J145" i="10" s="1"/>
  <c r="F139" i="10"/>
  <c r="F146" i="10"/>
  <c r="J146" i="10" s="1"/>
  <c r="F140" i="10"/>
  <c r="J140" i="10" s="1"/>
  <c r="F147" i="10"/>
  <c r="J147" i="10" s="1"/>
  <c r="F141" i="10"/>
  <c r="J141" i="10" s="1"/>
  <c r="F148" i="10"/>
  <c r="J148" i="10" s="1"/>
  <c r="F142" i="10"/>
  <c r="J142" i="10" s="1"/>
  <c r="F164" i="10"/>
  <c r="J164" i="10" s="1"/>
  <c r="F165" i="10"/>
  <c r="J165" i="10" s="1"/>
  <c r="F166" i="10"/>
  <c r="J166" i="10" s="1"/>
  <c r="F160" i="10"/>
  <c r="F167" i="10"/>
  <c r="J167" i="10" s="1"/>
  <c r="F161" i="10"/>
  <c r="J161" i="10" s="1"/>
  <c r="F168" i="10"/>
  <c r="J168" i="10" s="1"/>
  <c r="F162" i="10"/>
  <c r="J162" i="10" s="1"/>
  <c r="F169" i="10"/>
  <c r="J169" i="10" s="1"/>
  <c r="F163" i="10"/>
  <c r="J163" i="10" s="1"/>
  <c r="F120" i="10"/>
  <c r="J120" i="10" s="1"/>
  <c r="F121" i="10"/>
  <c r="J121" i="10" s="1"/>
  <c r="F122" i="10"/>
  <c r="J122" i="10" s="1"/>
  <c r="F116" i="10"/>
  <c r="F123" i="10"/>
  <c r="J123" i="10" s="1"/>
  <c r="F117" i="10"/>
  <c r="J117" i="10" s="1"/>
  <c r="F124" i="10"/>
  <c r="J124" i="10" s="1"/>
  <c r="F118" i="10"/>
  <c r="J118" i="10" s="1"/>
  <c r="F125" i="10"/>
  <c r="J125" i="10" s="1"/>
  <c r="F119" i="10"/>
  <c r="J119" i="10" s="1"/>
  <c r="E78" i="10" a="1"/>
  <c r="E78" i="10" s="1"/>
  <c r="I78" i="10" s="1"/>
  <c r="D74" i="10" a="1"/>
  <c r="D74" i="10" s="1"/>
  <c r="H74" i="10" s="1"/>
  <c r="H139" i="10"/>
  <c r="F175" i="10"/>
  <c r="H160" i="10"/>
  <c r="E73" i="10" a="1"/>
  <c r="E73" i="10" s="1"/>
  <c r="I73" i="10" s="1"/>
  <c r="E75" i="10" a="1"/>
  <c r="E75" i="10" s="1"/>
  <c r="I75" i="10" s="1"/>
  <c r="F64" i="10"/>
  <c r="F110" i="10"/>
  <c r="I116" i="10"/>
  <c r="F54" i="10"/>
  <c r="J54" i="10" s="1"/>
  <c r="F55" i="10"/>
  <c r="J55" i="10" s="1"/>
  <c r="F49" i="10"/>
  <c r="F56" i="10"/>
  <c r="J56" i="10" s="1"/>
  <c r="F50" i="10"/>
  <c r="J50" i="10" s="1"/>
  <c r="F58" i="10"/>
  <c r="J58" i="10" s="1"/>
  <c r="F52" i="10"/>
  <c r="J52" i="10" s="1"/>
  <c r="F53" i="10"/>
  <c r="J53" i="10" s="1"/>
  <c r="F57" i="10"/>
  <c r="J57" i="10" s="1"/>
  <c r="F51" i="10"/>
  <c r="J51" i="10" s="1"/>
  <c r="D70" i="10" a="1"/>
  <c r="D70" i="10" s="1"/>
  <c r="H70" i="10" s="1"/>
  <c r="D73" i="10" a="1"/>
  <c r="D73" i="10" s="1"/>
  <c r="H73" i="10" s="1"/>
  <c r="E71" i="10" a="1"/>
  <c r="E71" i="10" s="1"/>
  <c r="I71" i="10" s="1"/>
  <c r="E131" i="10"/>
  <c r="D82" i="10" a="1"/>
  <c r="D82" i="10" s="1"/>
  <c r="E79" i="10" a="1"/>
  <c r="E79" i="10" s="1"/>
  <c r="I79" i="10" s="1"/>
  <c r="E64" i="10"/>
  <c r="N169" i="10" l="1"/>
  <c r="F75" i="10"/>
  <c r="J75" i="10" s="1"/>
  <c r="F76" i="10"/>
  <c r="J76" i="10" s="1"/>
  <c r="F70" i="10"/>
  <c r="F77" i="10"/>
  <c r="J77" i="10" s="1"/>
  <c r="F71" i="10"/>
  <c r="J71" i="10" s="1"/>
  <c r="F78" i="10"/>
  <c r="J78" i="10" s="1"/>
  <c r="F72" i="10"/>
  <c r="J72" i="10" s="1"/>
  <c r="F79" i="10"/>
  <c r="J79" i="10" s="1"/>
  <c r="F74" i="10"/>
  <c r="J74" i="10" s="1"/>
  <c r="F73" i="10"/>
  <c r="J73" i="10" s="1"/>
  <c r="F85" i="10"/>
  <c r="E111" i="10"/>
  <c r="E112" i="10" s="1"/>
  <c r="I70" i="10"/>
  <c r="H154" i="10"/>
  <c r="E155" i="10" s="1"/>
  <c r="E156" i="10" s="1"/>
  <c r="J139" i="10"/>
  <c r="H175" i="10"/>
  <c r="E176" i="10" s="1"/>
  <c r="E177" i="10" s="1"/>
  <c r="J160" i="10"/>
  <c r="E85" i="10"/>
  <c r="H131" i="10"/>
  <c r="E132" i="10" s="1"/>
  <c r="E133" i="10" s="1"/>
  <c r="J116" i="10"/>
  <c r="H110" i="10"/>
  <c r="J95" i="10"/>
  <c r="H64" i="10"/>
  <c r="E65" i="10" s="1"/>
  <c r="E66" i="10" s="1"/>
  <c r="J49" i="10"/>
  <c r="H85" i="10" l="1"/>
  <c r="J70" i="10"/>
  <c r="E86" i="10"/>
  <c r="E87"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<sst xmlns="http://schemas.openxmlformats.org/spreadsheetml/2006/main" count="406" uniqueCount="146">
  <si>
    <t>Project Revenue</t>
  </si>
  <si>
    <t>Expenses</t>
  </si>
  <si>
    <t>YEAR</t>
  </si>
  <si>
    <t>Region 1</t>
  </si>
  <si>
    <t>Region 2</t>
  </si>
  <si>
    <t>Gross Profit</t>
  </si>
  <si>
    <t>Client</t>
  </si>
  <si>
    <t>Staff Hours</t>
  </si>
  <si>
    <t>Client Travel</t>
  </si>
  <si>
    <t>Technology Support</t>
  </si>
  <si>
    <t>Week</t>
  </si>
  <si>
    <t>Linear (TREND)</t>
  </si>
  <si>
    <t>Exponential (GROWTH)</t>
  </si>
  <si>
    <t>Polynomial (Equation)</t>
  </si>
  <si>
    <t>ABS Error-Linear</t>
  </si>
  <si>
    <t>ABS Error-Exp</t>
  </si>
  <si>
    <t>ABS Error-Poly</t>
  </si>
  <si>
    <t>Region 1 Gross Profit</t>
  </si>
  <si>
    <t>ABS(R1-R2 Staff Hours)</t>
  </si>
  <si>
    <t>LINEST</t>
  </si>
  <si>
    <t>Staff Hours and Gross Profit for Region 1</t>
  </si>
  <si>
    <t>Linear</t>
  </si>
  <si>
    <t>Exponential</t>
  </si>
  <si>
    <t>Polynomial</t>
  </si>
  <si>
    <t>Avg Abs Error</t>
  </si>
  <si>
    <t>Min Avg Abs Error</t>
  </si>
  <si>
    <t>Best Trend</t>
  </si>
  <si>
    <t>Client Travel and Gross Profit for Region 1</t>
  </si>
  <si>
    <t>Client Travel and Gross Profit for Region 2</t>
  </si>
  <si>
    <t>Technology Support and Gross Profit for Region 1</t>
  </si>
  <si>
    <t>Year</t>
  </si>
  <si>
    <t>Technology Support and Gross Profit for Region 2</t>
  </si>
  <si>
    <t>Total Expenses</t>
  </si>
  <si>
    <t>Staff Hours and Gross Profit for Region 2</t>
  </si>
  <si>
    <t>ABS(R1-R2 Client Travel)</t>
  </si>
  <si>
    <t>ABS(R1-R2 Tech Support)</t>
  </si>
  <si>
    <t>New Gross Profit</t>
  </si>
  <si>
    <t>Total Staff Hours</t>
  </si>
  <si>
    <t>Region 2 Gross Profit</t>
  </si>
  <si>
    <t>New Staff</t>
  </si>
  <si>
    <t>ABS(R1 - New R2)</t>
  </si>
  <si>
    <t>ABS(New R1 - R2)</t>
  </si>
  <si>
    <t>New Travel</t>
  </si>
  <si>
    <t>ABS(New R2 - R1)</t>
  </si>
  <si>
    <t>New Technology</t>
  </si>
  <si>
    <t>Username</t>
  </si>
  <si>
    <t>Password</t>
  </si>
  <si>
    <t>MattO</t>
  </si>
  <si>
    <t>Himanvi</t>
  </si>
  <si>
    <t>Ryan</t>
  </si>
  <si>
    <t>def</t>
  </si>
  <si>
    <t>ghi</t>
  </si>
  <si>
    <t>jkl</t>
  </si>
  <si>
    <t>ooo</t>
  </si>
  <si>
    <t>RyanM</t>
  </si>
  <si>
    <t>HimanviP</t>
  </si>
  <si>
    <t>CourtneyQ</t>
  </si>
  <si>
    <t>enriqueH</t>
  </si>
  <si>
    <t>amirS</t>
  </si>
  <si>
    <t>suhoQ</t>
  </si>
  <si>
    <t>laylaZ</t>
  </si>
  <si>
    <t>hhh</t>
  </si>
  <si>
    <t>sss</t>
  </si>
  <si>
    <t>qqq</t>
  </si>
  <si>
    <t>zzz</t>
  </si>
  <si>
    <t>Name</t>
  </si>
  <si>
    <t>Matthew</t>
  </si>
  <si>
    <t>Courtney</t>
  </si>
  <si>
    <t>Enrique</t>
  </si>
  <si>
    <t>Amir</t>
  </si>
  <si>
    <t>Suho</t>
  </si>
  <si>
    <t>Layla</t>
  </si>
  <si>
    <t>Role</t>
  </si>
  <si>
    <t>Admin</t>
  </si>
  <si>
    <t>INVESTMENTS</t>
  </si>
  <si>
    <t>Allocate Staff Hours, Client Travel and Technological Support</t>
  </si>
  <si>
    <t>Forecasted Gross Profits</t>
  </si>
  <si>
    <t>Total Profit</t>
  </si>
  <si>
    <t>Allocated Staff Hours</t>
  </si>
  <si>
    <t>Forecasted Gross Profit</t>
  </si>
  <si>
    <t>Difference</t>
  </si>
  <si>
    <t>Total Allocation</t>
  </si>
  <si>
    <t>REGION 1</t>
  </si>
  <si>
    <t>(All)</t>
  </si>
  <si>
    <t>Sum of Staff Hours</t>
  </si>
  <si>
    <t>Sum of Client Travel</t>
  </si>
  <si>
    <t>Sum of Technology Support</t>
  </si>
  <si>
    <t>Sum of Project Revenue</t>
  </si>
  <si>
    <t>Sum of Total Expenses</t>
  </si>
  <si>
    <t>Sum of Gross Profit</t>
  </si>
  <si>
    <t>REGION 2</t>
  </si>
  <si>
    <t>Min Expense</t>
  </si>
  <si>
    <t>Max Expense</t>
  </si>
  <si>
    <t>Forecasted Total Profit</t>
  </si>
  <si>
    <t>WELCOME</t>
  </si>
  <si>
    <t>Project Forecast</t>
  </si>
  <si>
    <t>`</t>
  </si>
  <si>
    <t>PWC Employee and Admin Log-In</t>
  </si>
  <si>
    <t>Summary Charts</t>
  </si>
  <si>
    <t>Overall Expense Analysis</t>
  </si>
  <si>
    <t>Staff Hours and Gross Profit Analysis</t>
  </si>
  <si>
    <t>Technology Support and Gross Profit Analysis</t>
  </si>
  <si>
    <t>Client Travel and Gross Profit Analysis</t>
  </si>
  <si>
    <t>Current User Type</t>
  </si>
  <si>
    <t>VBA write to text file</t>
  </si>
  <si>
    <t>Dim myFile as String</t>
  </si>
  <si>
    <t>myFile = Application.DefaultFilePath &amp; "\data.csv"</t>
  </si>
  <si>
    <t>Open myFile For Output As #1</t>
  </si>
  <si>
    <t>Write #1, values</t>
  </si>
  <si>
    <t>Text Report</t>
  </si>
  <si>
    <t xml:space="preserve">Summary </t>
  </si>
  <si>
    <t>Report Text</t>
  </si>
  <si>
    <t>Region</t>
  </si>
  <si>
    <t>Region Number</t>
  </si>
  <si>
    <t>Expenses and Revenue</t>
  </si>
  <si>
    <t>Grand Total</t>
  </si>
  <si>
    <t>Staff Hours per Region</t>
  </si>
  <si>
    <t>Client Travel per Region</t>
  </si>
  <si>
    <t>Technology Support per Region</t>
  </si>
  <si>
    <t>Total Expenses per Region</t>
  </si>
  <si>
    <t>Project Revenue per Region</t>
  </si>
  <si>
    <t>Gross Profit per Region</t>
  </si>
  <si>
    <t>Pivot Tables With Histograms</t>
  </si>
  <si>
    <t>Regional Pivot Charts with Expense and Profit Histograms</t>
  </si>
  <si>
    <t>Polynomial Function</t>
  </si>
  <si>
    <t>Region 1 in 2011 had a project revenue of $60,000, staff hour cost of $33441, client travel of $7732, technology support of $5275, total expense of $46448, and gross profit of $13552.</t>
  </si>
  <si>
    <t>Region 1 in 2012 had a project revenue of $87,858, staff hour cost of $31860, client travel of $8683, technology support of $7369, total expense of $47912, and gross profit of $39946.</t>
  </si>
  <si>
    <t>Region 1 in 2013 had a project revenue of $93,759, staff hour cost of $38325, client travel of $8188, technology support of $4246, total expense of $50759, and gross profit of $43000.</t>
  </si>
  <si>
    <t>Region 1 in 2014 had a project revenue of $78,612, staff hour cost of $31067, client travel of $8436, technology support of $5779, total expense of $45282, and gross profit of $33330.</t>
  </si>
  <si>
    <t>Region 1 in 2015 had a project revenue of $81,687, staff hour cost of $32870, client travel of $7782, technology support of $4424, total expense of $45076, and gross profit of $36611.</t>
  </si>
  <si>
    <t>Region 1 in 2016 had a project revenue of $65,578, staff hour cost of $25645, client travel of $6791, technology support of $5373, total expense of $37809, and gross profit of $27769.</t>
  </si>
  <si>
    <t>Region 1 in 2017 had a project revenue of $89,744, staff hour cost of $35190, client travel of $7585, technology support of $6327, total expense of $49102, and gross profit of $40642.</t>
  </si>
  <si>
    <t>Region 1 in 2018 had a project revenue of $74,268, staff hour cost of $27552, client travel of $9093, technology support of $3877, total expense of $40522, and gross profit of $33746.</t>
  </si>
  <si>
    <t>Region 1 in 2019 had a project revenue of $68,740, staff hour cost of $28877, client travel of $5792, technology support of $4749, total expense of $39418, and gross profit of $29322.</t>
  </si>
  <si>
    <t>Region 1 in 2020 had a project revenue of $84,425, staff hour cost of $34964, client travel of $7233, technology support of $3263, total expense of $45460, and gross profit of $38965.</t>
  </si>
  <si>
    <t>Region 2 in 2011 had a project revenue of $110,343, staff hour cost of $35568, client travel of $3658, technology support of $3404, total expense of $42630, and gross profit of $67713.</t>
  </si>
  <si>
    <t>Region 2 in 2012 had a project revenue of $116,000, staff hour cost of $41549, client travel of $5053, technology support of $5344, total expense of $51946, and gross profit of $64054.</t>
  </si>
  <si>
    <t>Region 2 in 2013 had a project revenue of $100,000, staff hour cost of $32010, client travel of $3993, technology support of $3671, total expense of $39674, and gross profit of $60326.</t>
  </si>
  <si>
    <t>Region 2 in 2014 had a project revenue of $112,000, staff hour cost of $41991, client travel of $4091, technology support of $4366, total expense of $50448, and gross profit of $61552.</t>
  </si>
  <si>
    <t>Region 2 in 2015 had a project revenue of $115,000, staff hour cost of $30951, client travel of $9067, technology support of $4873, total expense of $44891, and gross profit of $70109.</t>
  </si>
  <si>
    <t>Region 2 in 2016 had a project revenue of $115,038, staff hour cost of $35809, client travel of $9520, technology support of $5804, total expense of $51133, and gross profit of $63905.</t>
  </si>
  <si>
    <t>Region 2 in 2017 had a project revenue of $119,594, staff hour cost of $39947, client travel of $5959, technology support of $4340, total expense of $50246, and gross profit of $69348.</t>
  </si>
  <si>
    <t>Region 2 in 2018 had a project revenue of $120,000, staff hour cost of $41138, client travel of $8466, technology support of $2093, total expense of $51697, and gross profit of $68303.</t>
  </si>
  <si>
    <t>Region 2 in 2019 had a project revenue of $99,469, staff hour cost of $34031, client travel of $2538, technology support of $2985, total expense of $39554, and gross profit of $59915.</t>
  </si>
  <si>
    <t>Region 2 in 2020 had a project revenue of $122,000, staff hour cost of $41389, client travel of $8692, technology support of $4692, total expense of $54773, and gross profit of $67227.</t>
  </si>
  <si>
    <t>Report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</si>
</sst>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18">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b/>
      <sz val="15"/>
      <color theme="3"/>
      <name val="Calibri"/>
      <family val="2"/>
      <scheme val="minor"/>
    </font>
    <font>
      <b/>
      <sz val="16"/>
      <name val="Calibri"/>
      <family val="2"/>
      <scheme val="minor"/>
    </font>
    <font>
      <b/>
      <i/>
      <sz val="14"/>
      <name val="Calibri"/>
      <family val="2"/>
      <scheme val="minor"/>
    </font>
    <font>
      <b/>
      <i/>
      <sz val="15"/>
      <color theme="1"/>
      <name val="Calibri"/>
      <family val="2"/>
      <scheme val="minor"/>
    </font>
    <font>
      <b/>
      <sz val="12"/>
      <color theme="1"/>
      <name val="Calibri"/>
      <family val="2"/>
      <scheme val="minor"/>
    </font>
    <font>
      <b/>
      <sz val="14"/>
      <color theme="1"/>
      <name val="Calibri"/>
      <family val="2"/>
      <scheme val="minor"/>
    </font>
    <font>
      <sz val="11"/>
      <color rgb="FF0070C0"/>
      <name val="Calibri"/>
      <family val="2"/>
      <scheme val="minor"/>
    </font>
    <font>
      <b/>
      <sz val="24"/>
      <color theme="1"/>
      <name val="Balthazar"/>
    </font>
    <font>
      <sz val="11"/>
      <color theme="1"/>
      <name val="Calibri"/>
      <family val="2"/>
    </font>
    <font>
      <b/>
      <sz val="18"/>
      <color theme="1"/>
      <name val="Calibri"/>
      <family val="2"/>
    </font>
    <font>
      <b/>
      <i/>
      <sz val="14"/>
      <color theme="1"/>
      <name val="Calibri"/>
      <family val="2"/>
    </font>
    <font>
      <b/>
      <i/>
      <sz val="11"/>
      <name val="Calibri"/>
      <family val="2"/>
      <scheme val="minor"/>
    </font>
    <font>
      <b/>
      <sz val="11"/>
      <color theme="1"/>
      <name val="Calibri"/>
      <family val="2"/>
    </font>
  </fonts>
  <fills count="31">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7"/>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2"/>
        <bgColor indexed="64"/>
      </patternFill>
    </fill>
    <fill>
      <patternFill patternType="solid">
        <fgColor rgb="FF92D050"/>
        <bgColor indexed="64"/>
      </patternFill>
    </fill>
    <fill>
      <patternFill patternType="solid">
        <fgColor rgb="FF00B0F0"/>
        <bgColor indexed="64"/>
      </patternFill>
    </fill>
    <fill>
      <patternFill patternType="solid">
        <fgColor theme="4"/>
        <bgColor indexed="64"/>
      </patternFill>
    </fill>
    <fill>
      <patternFill patternType="solid">
        <fgColor theme="0"/>
        <bgColor indexed="64"/>
      </patternFill>
    </fill>
    <fill>
      <patternFill patternType="solid">
        <fgColor rgb="FFFFFF00"/>
        <bgColor indexed="64"/>
      </patternFill>
    </fill>
    <fill>
      <patternFill patternType="solid">
        <fgColor theme="8" tint="-0.249977111117893"/>
        <bgColor indexed="64"/>
      </patternFill>
    </fill>
    <fill>
      <patternFill patternType="solid">
        <fgColor rgb="FFFFC000"/>
        <bgColor indexed="64"/>
      </patternFill>
    </fill>
    <fill>
      <patternFill patternType="solid">
        <fgColor theme="0"/>
        <bgColor theme="0"/>
      </patternFill>
    </fill>
    <fill>
      <patternFill patternType="solid">
        <fgColor theme="0"/>
        <bgColor rgb="FFCC3300"/>
      </patternFill>
    </fill>
    <fill>
      <patternFill patternType="solid">
        <fgColor rgb="FF0070C0"/>
        <bgColor indexed="64"/>
      </patternFill>
    </fill>
    <fill>
      <patternFill patternType="solid">
        <fgColor theme="0" tint="-0.14999847407452621"/>
        <bgColor indexed="64"/>
      </patternFill>
    </fill>
    <fill>
      <patternFill patternType="solid">
        <fgColor theme="0" tint="-0.14999847407452621"/>
        <bgColor rgb="FFDADADA"/>
      </patternFill>
    </fill>
    <fill>
      <patternFill patternType="solid">
        <fgColor theme="7"/>
        <bgColor theme="7"/>
      </patternFill>
    </fill>
    <fill>
      <patternFill patternType="solid">
        <fgColor theme="5" tint="0.39997558519241921"/>
        <bgColor indexed="64"/>
      </patternFill>
    </fill>
    <fill>
      <patternFill patternType="solid">
        <fgColor theme="5" tint="-0.249977111117893"/>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79998168889431442"/>
        <bgColor rgb="FFD9E2F3"/>
      </patternFill>
    </fill>
    <fill>
      <patternFill patternType="solid">
        <fgColor theme="7" tint="0.79998168889431442"/>
        <bgColor rgb="FFFEF2CB"/>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4">
    <xf numFmtId="0" fontId="0" fillId="0" borderId="0"/>
    <xf numFmtId="44" fontId="1" fillId="0" borderId="0" applyFont="0" applyFill="0" applyBorder="0" applyAlignment="0" applyProtection="0"/>
    <xf numFmtId="164" fontId="1" fillId="0" borderId="1" applyFill="0">
      <alignment horizontal="center"/>
    </xf>
    <xf numFmtId="0" fontId="5" fillId="0" borderId="8" applyNumberFormat="0" applyFill="0" applyAlignment="0" applyProtection="0"/>
  </cellStyleXfs>
  <cellXfs count="152">
    <xf numFmtId="0" fontId="0" fillId="0" borderId="0" xfId="0"/>
    <xf numFmtId="0" fontId="2" fillId="0" borderId="0" xfId="0" applyFont="1"/>
    <xf numFmtId="0" fontId="0" fillId="0" borderId="1" xfId="0" applyBorder="1"/>
    <xf numFmtId="0" fontId="0" fillId="0" borderId="1" xfId="0" applyBorder="1" applyAlignment="1">
      <alignment horizontal="center"/>
    </xf>
    <xf numFmtId="0" fontId="0" fillId="0" borderId="0" xfId="0" applyBorder="1"/>
    <xf numFmtId="164" fontId="0" fillId="0" borderId="1" xfId="0" applyNumberFormat="1" applyBorder="1" applyAlignment="1">
      <alignment horizontal="center"/>
    </xf>
    <xf numFmtId="0" fontId="0" fillId="4" borderId="1" xfId="0" applyFill="1" applyBorder="1"/>
    <xf numFmtId="0" fontId="0" fillId="0" borderId="0" xfId="0" applyAlignment="1">
      <alignment horizontal="center"/>
    </xf>
    <xf numFmtId="0" fontId="2" fillId="8" borderId="1" xfId="0" applyFont="1" applyFill="1" applyBorder="1"/>
    <xf numFmtId="0" fontId="2" fillId="7" borderId="1" xfId="0" applyFont="1" applyFill="1" applyBorder="1" applyAlignment="1">
      <alignment horizontal="center"/>
    </xf>
    <xf numFmtId="0" fontId="2" fillId="9" borderId="1" xfId="0" applyFont="1" applyFill="1" applyBorder="1" applyAlignment="1">
      <alignment horizontal="center"/>
    </xf>
    <xf numFmtId="0" fontId="2" fillId="6" borderId="1" xfId="0" applyFont="1" applyFill="1" applyBorder="1"/>
    <xf numFmtId="0" fontId="2" fillId="7" borderId="1" xfId="0" applyFont="1" applyFill="1" applyBorder="1"/>
    <xf numFmtId="0" fontId="3" fillId="4" borderId="1" xfId="0" applyFont="1" applyFill="1" applyBorder="1" applyAlignment="1">
      <alignment horizontal="center"/>
    </xf>
    <xf numFmtId="164" fontId="0" fillId="3" borderId="1" xfId="0" applyNumberFormat="1" applyFill="1" applyBorder="1" applyAlignment="1">
      <alignment horizontal="center"/>
    </xf>
    <xf numFmtId="0" fontId="0" fillId="0" borderId="6" xfId="0" applyBorder="1"/>
    <xf numFmtId="0" fontId="0" fillId="3" borderId="1" xfId="0" applyFill="1" applyBorder="1"/>
    <xf numFmtId="164" fontId="0" fillId="4" borderId="1" xfId="0" applyNumberFormat="1" applyFill="1" applyBorder="1" applyAlignment="1">
      <alignment horizontal="center"/>
    </xf>
    <xf numFmtId="164" fontId="0" fillId="10" borderId="1" xfId="1" applyNumberFormat="1" applyFont="1" applyFill="1" applyBorder="1" applyAlignment="1">
      <alignment horizontal="center" vertical="center"/>
    </xf>
    <xf numFmtId="164" fontId="0" fillId="0" borderId="1" xfId="0" applyNumberFormat="1" applyBorder="1"/>
    <xf numFmtId="0" fontId="2" fillId="6" borderId="1" xfId="0" applyNumberFormat="1" applyFont="1" applyFill="1" applyBorder="1"/>
    <xf numFmtId="0" fontId="0" fillId="0" borderId="1" xfId="0" applyNumberFormat="1" applyBorder="1"/>
    <xf numFmtId="0" fontId="0" fillId="3" borderId="2" xfId="0" applyFill="1" applyBorder="1"/>
    <xf numFmtId="0" fontId="0" fillId="3" borderId="3" xfId="0" applyFill="1" applyBorder="1"/>
    <xf numFmtId="0" fontId="0" fillId="3" borderId="4" xfId="0" applyFill="1" applyBorder="1"/>
    <xf numFmtId="0" fontId="0" fillId="0" borderId="0" xfId="0" applyNumberFormat="1" applyBorder="1"/>
    <xf numFmtId="0" fontId="0" fillId="0" borderId="0" xfId="0" applyFill="1"/>
    <xf numFmtId="0" fontId="2" fillId="0" borderId="0" xfId="0" applyFont="1" applyFill="1" applyBorder="1" applyAlignment="1">
      <alignment horizontal="center"/>
    </xf>
    <xf numFmtId="0" fontId="0" fillId="0" borderId="1" xfId="0" applyNumberFormat="1" applyBorder="1" applyAlignment="1">
      <alignment horizontal="center"/>
    </xf>
    <xf numFmtId="0" fontId="2" fillId="0" borderId="1" xfId="0" applyFont="1" applyFill="1" applyBorder="1" applyAlignment="1">
      <alignment horizontal="center"/>
    </xf>
    <xf numFmtId="164" fontId="0" fillId="0" borderId="0" xfId="0" applyNumberFormat="1"/>
    <xf numFmtId="164" fontId="2" fillId="11" borderId="1" xfId="0" applyNumberFormat="1" applyFont="1" applyFill="1" applyBorder="1"/>
    <xf numFmtId="0" fontId="0" fillId="0" borderId="0" xfId="0" applyBorder="1" applyAlignment="1">
      <alignment horizontal="center"/>
    </xf>
    <xf numFmtId="0" fontId="0" fillId="0" borderId="0" xfId="0" applyAlignment="1">
      <alignment horizontal="right"/>
    </xf>
    <xf numFmtId="0" fontId="2" fillId="0" borderId="1" xfId="0" applyFont="1" applyFill="1" applyBorder="1" applyAlignment="1">
      <alignment horizontal="center"/>
    </xf>
    <xf numFmtId="0" fontId="0" fillId="12" borderId="0" xfId="0" applyFill="1"/>
    <xf numFmtId="0" fontId="6" fillId="13" borderId="9" xfId="0" applyFont="1" applyFill="1" applyBorder="1"/>
    <xf numFmtId="0" fontId="4" fillId="13" borderId="10" xfId="0" applyFont="1" applyFill="1" applyBorder="1"/>
    <xf numFmtId="0" fontId="4" fillId="13" borderId="10" xfId="0" applyFont="1" applyFill="1" applyBorder="1" applyAlignment="1">
      <alignment horizontal="center"/>
    </xf>
    <xf numFmtId="0" fontId="4" fillId="13" borderId="10" xfId="0" applyFont="1" applyFill="1" applyBorder="1" applyAlignment="1">
      <alignment horizontal="left"/>
    </xf>
    <xf numFmtId="0" fontId="4" fillId="13" borderId="11" xfId="0" applyFont="1" applyFill="1" applyBorder="1"/>
    <xf numFmtId="0" fontId="6" fillId="14" borderId="12" xfId="0" applyFont="1" applyFill="1" applyBorder="1"/>
    <xf numFmtId="0" fontId="4" fillId="14" borderId="0" xfId="0" applyFont="1" applyFill="1"/>
    <xf numFmtId="0" fontId="4" fillId="14" borderId="0" xfId="0" applyFont="1" applyFill="1" applyAlignment="1">
      <alignment horizontal="center"/>
    </xf>
    <xf numFmtId="0" fontId="4" fillId="14" borderId="0" xfId="0" applyFont="1" applyFill="1" applyAlignment="1">
      <alignment horizontal="left"/>
    </xf>
    <xf numFmtId="0" fontId="4" fillId="14" borderId="13" xfId="0" applyFont="1" applyFill="1" applyBorder="1"/>
    <xf numFmtId="0" fontId="7" fillId="14" borderId="14" xfId="0" applyFont="1" applyFill="1" applyBorder="1"/>
    <xf numFmtId="0" fontId="4" fillId="14" borderId="15" xfId="0" applyFont="1" applyFill="1" applyBorder="1"/>
    <xf numFmtId="0" fontId="4" fillId="14" borderId="15" xfId="0" applyFont="1" applyFill="1" applyBorder="1" applyAlignment="1">
      <alignment horizontal="center"/>
    </xf>
    <xf numFmtId="0" fontId="4" fillId="14" borderId="15" xfId="0" applyFont="1" applyFill="1" applyBorder="1" applyAlignment="1">
      <alignment horizontal="left"/>
    </xf>
    <xf numFmtId="0" fontId="4" fillId="14" borderId="16" xfId="0" applyFont="1" applyFill="1" applyBorder="1"/>
    <xf numFmtId="0" fontId="2" fillId="8" borderId="18" xfId="0" applyFont="1" applyFill="1" applyBorder="1"/>
    <xf numFmtId="0" fontId="2" fillId="7" borderId="19" xfId="0" applyFont="1" applyFill="1" applyBorder="1" applyAlignment="1">
      <alignment horizontal="center"/>
    </xf>
    <xf numFmtId="0" fontId="8" fillId="12" borderId="5" xfId="3" applyFont="1" applyFill="1" applyBorder="1" applyAlignment="1">
      <alignment vertical="center"/>
    </xf>
    <xf numFmtId="0" fontId="8" fillId="12" borderId="0" xfId="3" applyFont="1" applyFill="1" applyBorder="1" applyAlignment="1">
      <alignment vertical="center"/>
    </xf>
    <xf numFmtId="164" fontId="2" fillId="15" borderId="17" xfId="0" applyNumberFormat="1" applyFont="1" applyFill="1" applyBorder="1" applyAlignment="1">
      <alignment horizontal="center"/>
    </xf>
    <xf numFmtId="0" fontId="2" fillId="16" borderId="20" xfId="0" applyFont="1" applyFill="1" applyBorder="1" applyAlignment="1">
      <alignment horizontal="center"/>
    </xf>
    <xf numFmtId="0" fontId="0" fillId="2" borderId="17" xfId="0" applyFill="1" applyBorder="1"/>
    <xf numFmtId="0" fontId="2" fillId="0" borderId="1" xfId="0" applyFont="1" applyFill="1" applyBorder="1" applyAlignment="1">
      <alignment horizontal="center"/>
    </xf>
    <xf numFmtId="0" fontId="2" fillId="5" borderId="21" xfId="0" applyFont="1" applyFill="1" applyBorder="1" applyAlignment="1">
      <alignment horizontal="center"/>
    </xf>
    <xf numFmtId="0" fontId="2" fillId="5" borderId="22" xfId="0" applyFont="1" applyFill="1" applyBorder="1" applyAlignment="1">
      <alignment horizontal="center"/>
    </xf>
    <xf numFmtId="0" fontId="2" fillId="5" borderId="23" xfId="0" applyFont="1" applyFill="1" applyBorder="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7" xfId="0" applyFont="1" applyBorder="1" applyAlignment="1">
      <alignment horizontal="center"/>
    </xf>
    <xf numFmtId="0" fontId="9" fillId="5" borderId="0" xfId="0" applyFont="1" applyFill="1"/>
    <xf numFmtId="0" fontId="9" fillId="0" borderId="0" xfId="0" applyFont="1"/>
    <xf numFmtId="0" fontId="2" fillId="5" borderId="0" xfId="0" applyFont="1" applyFill="1"/>
    <xf numFmtId="0" fontId="10" fillId="5" borderId="0" xfId="0" applyFont="1" applyFill="1"/>
    <xf numFmtId="0" fontId="10" fillId="0" borderId="0" xfId="0" applyFont="1"/>
    <xf numFmtId="164" fontId="0" fillId="0" borderId="0" xfId="0" applyNumberFormat="1" applyAlignment="1">
      <alignment horizontal="center"/>
    </xf>
    <xf numFmtId="0" fontId="0" fillId="16" borderId="0" xfId="0" applyFill="1"/>
    <xf numFmtId="0" fontId="2" fillId="0" borderId="1" xfId="0" applyFont="1" applyBorder="1"/>
    <xf numFmtId="0" fontId="2" fillId="17" borderId="1" xfId="0" applyFont="1" applyFill="1" applyBorder="1" applyAlignment="1">
      <alignment horizontal="center"/>
    </xf>
    <xf numFmtId="0" fontId="0" fillId="3" borderId="6" xfId="0" applyFill="1" applyBorder="1"/>
    <xf numFmtId="164" fontId="0" fillId="3" borderId="6" xfId="0" applyNumberFormat="1" applyFill="1" applyBorder="1" applyAlignment="1">
      <alignment horizontal="center"/>
    </xf>
    <xf numFmtId="0" fontId="3" fillId="0" borderId="0" xfId="0" applyFont="1" applyAlignment="1">
      <alignment horizontal="center"/>
    </xf>
    <xf numFmtId="164" fontId="0" fillId="0" borderId="0" xfId="1" applyNumberFormat="1" applyFont="1" applyFill="1" applyBorder="1" applyAlignment="1">
      <alignment horizontal="center" vertical="center"/>
    </xf>
    <xf numFmtId="0" fontId="0" fillId="0" borderId="0" xfId="0" pivotButton="1"/>
    <xf numFmtId="0" fontId="0" fillId="0" borderId="0" xfId="0" applyNumberFormat="1"/>
    <xf numFmtId="0" fontId="2" fillId="7" borderId="17" xfId="0" applyFont="1" applyFill="1" applyBorder="1" applyAlignment="1">
      <alignment horizontal="center"/>
    </xf>
    <xf numFmtId="0" fontId="11" fillId="12" borderId="0" xfId="0" applyFont="1" applyFill="1"/>
    <xf numFmtId="0" fontId="14" fillId="18" borderId="0" xfId="0" applyFont="1" applyFill="1"/>
    <xf numFmtId="0" fontId="13" fillId="18" borderId="0" xfId="0" applyFont="1" applyFill="1"/>
    <xf numFmtId="0" fontId="13" fillId="18" borderId="27" xfId="0" applyFont="1" applyFill="1" applyBorder="1"/>
    <xf numFmtId="0" fontId="15" fillId="18" borderId="28" xfId="0" applyFont="1" applyFill="1" applyBorder="1"/>
    <xf numFmtId="0" fontId="13" fillId="18" borderId="29" xfId="0" applyFont="1" applyFill="1" applyBorder="1"/>
    <xf numFmtId="0" fontId="13" fillId="18" borderId="30" xfId="0" applyFont="1" applyFill="1" applyBorder="1"/>
    <xf numFmtId="0" fontId="12" fillId="19" borderId="24" xfId="0" applyFont="1" applyFill="1" applyBorder="1"/>
    <xf numFmtId="0" fontId="13" fillId="19" borderId="25" xfId="0" applyFont="1" applyFill="1" applyBorder="1"/>
    <xf numFmtId="0" fontId="13" fillId="19" borderId="0" xfId="0" applyFont="1" applyFill="1"/>
    <xf numFmtId="0" fontId="13" fillId="19" borderId="26" xfId="0" applyFont="1" applyFill="1" applyBorder="1"/>
    <xf numFmtId="0" fontId="0" fillId="14" borderId="0" xfId="0" applyFill="1"/>
    <xf numFmtId="0" fontId="13" fillId="14" borderId="0" xfId="0" applyFont="1" applyFill="1"/>
    <xf numFmtId="0" fontId="4" fillId="12" borderId="0" xfId="0" applyFont="1" applyFill="1"/>
    <xf numFmtId="0" fontId="4" fillId="12" borderId="0" xfId="0" applyFont="1" applyFill="1" applyAlignment="1">
      <alignment horizontal="left"/>
    </xf>
    <xf numFmtId="0" fontId="16" fillId="12" borderId="0" xfId="0" applyFont="1" applyFill="1"/>
    <xf numFmtId="0" fontId="6" fillId="20" borderId="9" xfId="0" applyFont="1" applyFill="1" applyBorder="1"/>
    <xf numFmtId="0" fontId="4" fillId="20" borderId="10" xfId="0" applyFont="1" applyFill="1" applyBorder="1"/>
    <xf numFmtId="0" fontId="4" fillId="20" borderId="10" xfId="0" applyFont="1" applyFill="1" applyBorder="1" applyAlignment="1">
      <alignment horizontal="left"/>
    </xf>
    <xf numFmtId="0" fontId="4" fillId="20" borderId="10" xfId="0" applyFont="1" applyFill="1" applyBorder="1" applyAlignment="1">
      <alignment horizontal="center"/>
    </xf>
    <xf numFmtId="0" fontId="4" fillId="20" borderId="11" xfId="0" applyFont="1" applyFill="1" applyBorder="1"/>
    <xf numFmtId="0" fontId="2" fillId="12" borderId="0" xfId="0" applyFont="1" applyFill="1"/>
    <xf numFmtId="0" fontId="2" fillId="12" borderId="0" xfId="0" applyFont="1" applyFill="1" applyAlignment="1">
      <alignment horizontal="center"/>
    </xf>
    <xf numFmtId="0" fontId="9" fillId="12" borderId="0" xfId="0" applyFont="1" applyFill="1"/>
    <xf numFmtId="0" fontId="6" fillId="12" borderId="0" xfId="0" applyFont="1" applyFill="1" applyBorder="1" applyAlignment="1">
      <alignment vertical="center"/>
    </xf>
    <xf numFmtId="0" fontId="4" fillId="12" borderId="0" xfId="0" applyFont="1" applyFill="1" applyBorder="1"/>
    <xf numFmtId="0" fontId="0" fillId="12" borderId="0" xfId="0" applyFill="1" applyBorder="1"/>
    <xf numFmtId="0" fontId="0" fillId="14" borderId="13" xfId="0" applyFill="1" applyBorder="1"/>
    <xf numFmtId="164" fontId="4" fillId="15" borderId="1" xfId="0" applyNumberFormat="1" applyFont="1" applyFill="1" applyBorder="1" applyAlignment="1">
      <alignment horizontal="center"/>
    </xf>
    <xf numFmtId="164" fontId="0" fillId="15" borderId="1" xfId="0" applyNumberFormat="1" applyFill="1" applyBorder="1" applyAlignment="1">
      <alignment horizontal="center"/>
    </xf>
    <xf numFmtId="0" fontId="2" fillId="14" borderId="0" xfId="1" applyNumberFormat="1" applyFont="1" applyFill="1"/>
    <xf numFmtId="0" fontId="2" fillId="14" borderId="0" xfId="0" applyFont="1" applyFill="1"/>
    <xf numFmtId="0" fontId="2" fillId="21" borderId="1" xfId="0" applyFont="1" applyFill="1" applyBorder="1"/>
    <xf numFmtId="0" fontId="2" fillId="22" borderId="36" xfId="0" applyFont="1" applyFill="1" applyBorder="1"/>
    <xf numFmtId="0" fontId="17" fillId="21" borderId="37" xfId="0" applyFont="1" applyFill="1" applyBorder="1" applyAlignment="1">
      <alignment horizontal="center"/>
    </xf>
    <xf numFmtId="0" fontId="17" fillId="21" borderId="38" xfId="0" applyFont="1" applyFill="1" applyBorder="1" applyAlignment="1">
      <alignment horizontal="center"/>
    </xf>
    <xf numFmtId="0" fontId="17" fillId="23" borderId="37" xfId="0" applyFont="1" applyFill="1" applyBorder="1" applyAlignment="1">
      <alignment horizontal="center"/>
    </xf>
    <xf numFmtId="0" fontId="0" fillId="24" borderId="0" xfId="0" applyFill="1" applyAlignment="1">
      <alignment horizontal="left"/>
    </xf>
    <xf numFmtId="0" fontId="13" fillId="12" borderId="0" xfId="0" applyFont="1" applyFill="1"/>
    <xf numFmtId="164" fontId="13" fillId="12" borderId="0" xfId="0" applyNumberFormat="1" applyFont="1" applyFill="1" applyAlignment="1">
      <alignment horizontal="center"/>
    </xf>
    <xf numFmtId="0" fontId="0" fillId="26" borderId="0" xfId="0" applyFill="1" applyAlignment="1">
      <alignment horizontal="left"/>
    </xf>
    <xf numFmtId="0" fontId="0" fillId="26" borderId="0" xfId="0" applyFill="1"/>
    <xf numFmtId="0" fontId="0" fillId="27" borderId="0" xfId="0" applyFill="1" applyAlignment="1">
      <alignment horizontal="left"/>
    </xf>
    <xf numFmtId="0" fontId="0" fillId="28" borderId="1" xfId="0" applyFill="1" applyBorder="1"/>
    <xf numFmtId="0" fontId="13" fillId="29" borderId="36" xfId="0" applyFont="1" applyFill="1" applyBorder="1"/>
    <xf numFmtId="164" fontId="13" fillId="29" borderId="37" xfId="0" applyNumberFormat="1" applyFont="1" applyFill="1" applyBorder="1" applyAlignment="1">
      <alignment horizontal="center"/>
    </xf>
    <xf numFmtId="0" fontId="13" fillId="30" borderId="36" xfId="0" applyFont="1" applyFill="1" applyBorder="1"/>
    <xf numFmtId="164" fontId="13" fillId="30" borderId="37" xfId="0" applyNumberFormat="1" applyFont="1" applyFill="1" applyBorder="1" applyAlignment="1">
      <alignment horizontal="center"/>
    </xf>
    <xf numFmtId="0" fontId="0" fillId="24" borderId="0" xfId="0" applyNumberFormat="1" applyFill="1"/>
    <xf numFmtId="0" fontId="0" fillId="27" borderId="0" xfId="0" applyNumberFormat="1" applyFill="1"/>
    <xf numFmtId="0" fontId="2" fillId="25" borderId="0" xfId="0" applyNumberFormat="1" applyFont="1" applyFill="1"/>
    <xf numFmtId="0" fontId="2" fillId="25" borderId="0" xfId="0" applyFont="1" applyFill="1" applyAlignment="1">
      <alignment horizontal="left"/>
    </xf>
    <xf numFmtId="0" fontId="0" fillId="12" borderId="0" xfId="0" applyFill="1" applyAlignment="1">
      <alignment horizontal="left"/>
    </xf>
    <xf numFmtId="0" fontId="0" fillId="14" borderId="0" xfId="0" applyFill="1" applyAlignment="1">
      <alignment horizontal="left"/>
    </xf>
    <xf numFmtId="0" fontId="6" fillId="14" borderId="31" xfId="0" applyFont="1" applyFill="1" applyBorder="1" applyAlignment="1">
      <alignment horizontal="left" vertical="center"/>
    </xf>
    <xf numFmtId="0" fontId="6" fillId="14" borderId="32" xfId="0" applyFont="1" applyFill="1" applyBorder="1" applyAlignment="1">
      <alignment horizontal="left" vertical="center"/>
    </xf>
    <xf numFmtId="0" fontId="6" fillId="14" borderId="33" xfId="0" applyFont="1" applyFill="1" applyBorder="1" applyAlignment="1">
      <alignment horizontal="left" vertical="center"/>
    </xf>
    <xf numFmtId="0" fontId="6" fillId="14" borderId="14" xfId="0" applyFont="1" applyFill="1" applyBorder="1" applyAlignment="1">
      <alignment horizontal="left" vertical="center"/>
    </xf>
    <xf numFmtId="0" fontId="6" fillId="14" borderId="15" xfId="0" applyFont="1" applyFill="1" applyBorder="1" applyAlignment="1">
      <alignment horizontal="left" vertical="center"/>
    </xf>
    <xf numFmtId="0" fontId="6" fillId="14" borderId="16" xfId="0" applyFont="1" applyFill="1" applyBorder="1" applyAlignment="1">
      <alignment horizontal="left" vertical="center"/>
    </xf>
    <xf numFmtId="0" fontId="2" fillId="5" borderId="21" xfId="0" applyFont="1" applyFill="1" applyBorder="1" applyAlignment="1">
      <alignment horizontal="center"/>
    </xf>
    <xf numFmtId="0" fontId="2" fillId="5" borderId="22" xfId="0" applyFont="1" applyFill="1" applyBorder="1" applyAlignment="1">
      <alignment horizontal="center"/>
    </xf>
    <xf numFmtId="0" fontId="2" fillId="5" borderId="23" xfId="0" applyFont="1" applyFill="1" applyBorder="1" applyAlignment="1">
      <alignment horizontal="center"/>
    </xf>
    <xf numFmtId="0" fontId="6" fillId="14" borderId="34" xfId="0" applyFont="1" applyFill="1" applyBorder="1" applyAlignment="1">
      <alignment horizontal="left" vertical="center"/>
    </xf>
    <xf numFmtId="0" fontId="6" fillId="14" borderId="12" xfId="0" applyFont="1" applyFill="1" applyBorder="1" applyAlignment="1">
      <alignment horizontal="left" vertical="center"/>
    </xf>
    <xf numFmtId="0" fontId="6" fillId="14" borderId="0" xfId="0" applyFont="1" applyFill="1" applyBorder="1" applyAlignment="1">
      <alignment horizontal="left" vertical="center"/>
    </xf>
    <xf numFmtId="0" fontId="6" fillId="14" borderId="35" xfId="0" applyFont="1" applyFill="1" applyBorder="1" applyAlignment="1">
      <alignment horizontal="left" vertical="center"/>
    </xf>
    <xf numFmtId="0" fontId="2" fillId="0" borderId="7" xfId="0" applyFont="1" applyFill="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2" fillId="0" borderId="1" xfId="0" applyFont="1" applyFill="1" applyBorder="1" applyAlignment="1">
      <alignment horizontal="center"/>
    </xf>
  </cellXfs>
  <cellStyles count="4">
    <cellStyle name="Currency" xfId="1" builtinId="4"/>
    <cellStyle name="Heading 1" xfId="3" builtinId="16"/>
    <cellStyle name="Normal" xfId="0" builtinId="0"/>
    <cellStyle name="Style 1" xfId="2" xr:uid="{28E190D5-B1A9-4E62-BDB4-3FCA02EB71FD}"/>
  </cellStyles>
  <dxfs count="66">
    <dxf>
      <fill>
        <patternFill>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fgColor indexed="64"/>
          <bgColor rgb="FFFFFF00"/>
        </patternFill>
      </fill>
    </dxf>
    <dxf>
      <fill>
        <patternFill>
          <bgColor theme="5" tint="-0.249977111117893"/>
        </patternFill>
      </fill>
    </dxf>
    <dxf>
      <fill>
        <patternFill>
          <bgColor theme="5" tint="-0.249977111117893"/>
        </patternFill>
      </fill>
    </dxf>
    <dxf>
      <fill>
        <patternFill>
          <bgColor theme="5" tint="0.39997558519241921"/>
        </patternFill>
      </fill>
    </dxf>
    <dxf>
      <fill>
        <patternFill>
          <bgColor theme="5" tint="0.39997558519241921"/>
        </patternFill>
      </fill>
    </dxf>
    <dxf>
      <fill>
        <patternFill>
          <bgColor theme="6" tint="0.79998168889431442"/>
        </patternFill>
      </fill>
    </dxf>
    <dxf>
      <fill>
        <patternFill>
          <bgColor theme="6" tint="0.79998168889431442"/>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rgb="FF00B0F0"/>
        </patternFill>
      </fill>
    </dxf>
    <dxf>
      <fill>
        <patternFill>
          <bgColor rgb="FF00B0F0"/>
        </patternFill>
      </fill>
    </dxf>
    <dxf>
      <fill>
        <patternFill>
          <bgColor rgb="FF00B0F0"/>
        </patternFill>
      </fill>
    </dxf>
    <dxf>
      <font>
        <b/>
        <family val="2"/>
      </font>
    </dxf>
    <dxf>
      <font>
        <b/>
        <family val="2"/>
      </font>
    </dxf>
    <dxf>
      <font>
        <b/>
        <family val="2"/>
      </font>
    </dxf>
    <dxf>
      <fill>
        <patternFill>
          <bgColor theme="5" tint="0.39997558519241921"/>
        </patternFill>
      </fill>
    </dxf>
    <dxf>
      <fill>
        <patternFill patternType="solid">
          <bgColor theme="5" tint="0.59999389629810485"/>
        </patternFill>
      </fill>
    </dxf>
    <dxf>
      <fill>
        <patternFill patternType="solid">
          <bgColor theme="5" tint="0.79998168889431442"/>
        </patternFill>
      </fill>
    </dxf>
    <dxf>
      <fill>
        <patternFill patternType="solid">
          <bgColor theme="5" tint="0.59999389629810485"/>
        </patternFill>
      </fill>
    </dxf>
    <dxf>
      <fill>
        <patternFill patternType="solid">
          <bgColor theme="5" tint="0.39997558519241921"/>
        </patternFill>
      </fill>
    </dxf>
    <dxf>
      <fill>
        <patternFill patternType="solid">
          <bgColor theme="5" tint="0.39997558519241921"/>
        </patternFill>
      </fill>
    </dxf>
  </dxfs>
  <tableStyles count="0" defaultTableStyle="TableStyleMedium2" defaultPivotStyle="PivotStyleLight16"/>
  <colors>
    <mruColors>
      <color rgb="FF436828"/>
      <color rgb="FF996633"/>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sheetMetadata" Target="metadata.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Staff Hours vs Gross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exp"/>
            <c:dispRSqr val="0"/>
            <c:dispEq val="1"/>
            <c:trendlineLbl>
              <c:layout>
                <c:manualLayout>
                  <c:x val="-3.9543283914335349E-3"/>
                  <c:y val="0.1060924156195489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Data'!$B$27:$B$36</c:f>
              <c:numCache>
                <c:formatCode>General</c:formatCode>
                <c:ptCount val="10"/>
                <c:pt idx="0">
                  <c:v>2127</c:v>
                </c:pt>
                <c:pt idx="1">
                  <c:v>9689</c:v>
                </c:pt>
                <c:pt idx="2">
                  <c:v>6315</c:v>
                </c:pt>
                <c:pt idx="3">
                  <c:v>10924</c:v>
                </c:pt>
                <c:pt idx="4">
                  <c:v>1919</c:v>
                </c:pt>
                <c:pt idx="5">
                  <c:v>10164</c:v>
                </c:pt>
                <c:pt idx="6">
                  <c:v>4757</c:v>
                </c:pt>
                <c:pt idx="7">
                  <c:v>13586</c:v>
                </c:pt>
                <c:pt idx="8">
                  <c:v>5154</c:v>
                </c:pt>
                <c:pt idx="9">
                  <c:v>6425</c:v>
                </c:pt>
              </c:numCache>
            </c:numRef>
          </c:xVal>
          <c:yVal>
            <c:numRef>
              <c:f>'[2]Updated Data'!$C$27:$C$36</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9644-426D-B5D4-23C405FB306A}"/>
            </c:ext>
          </c:extLst>
        </c:ser>
        <c:ser>
          <c:idx val="1"/>
          <c:order val="1"/>
          <c:tx>
            <c:v>Region 2</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trendline>
            <c:spPr>
              <a:ln w="9525" cap="rnd">
                <a:solidFill>
                  <a:schemeClr val="accent2"/>
                </a:solidFill>
              </a:ln>
              <a:effectLst/>
            </c:spPr>
            <c:trendlineType val="exp"/>
            <c:dispRSqr val="0"/>
            <c:dispEq val="1"/>
            <c:trendlineLbl>
              <c:layout>
                <c:manualLayout>
                  <c:x val="-2.3498564882001196E-3"/>
                  <c:y val="-8.300003117295705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Data'!$B$48:$B$57</c:f>
              <c:numCache>
                <c:formatCode>General</c:formatCode>
                <c:ptCount val="10"/>
                <c:pt idx="0">
                  <c:v>2127</c:v>
                </c:pt>
                <c:pt idx="1">
                  <c:v>9689</c:v>
                </c:pt>
                <c:pt idx="2">
                  <c:v>6315</c:v>
                </c:pt>
                <c:pt idx="3">
                  <c:v>10924</c:v>
                </c:pt>
                <c:pt idx="4">
                  <c:v>1919</c:v>
                </c:pt>
                <c:pt idx="5">
                  <c:v>10164</c:v>
                </c:pt>
                <c:pt idx="6">
                  <c:v>4757</c:v>
                </c:pt>
                <c:pt idx="7">
                  <c:v>13586</c:v>
                </c:pt>
                <c:pt idx="8">
                  <c:v>5154</c:v>
                </c:pt>
                <c:pt idx="9">
                  <c:v>6425</c:v>
                </c:pt>
              </c:numCache>
            </c:numRef>
          </c:xVal>
          <c:yVal>
            <c:numRef>
              <c:f>'[2]Updated Data'!$C$48:$C$57</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9644-426D-B5D4-23C405FB306A}"/>
            </c:ext>
          </c:extLst>
        </c:ser>
        <c:dLbls>
          <c:showLegendKey val="0"/>
          <c:showVal val="0"/>
          <c:showCatName val="0"/>
          <c:showSerName val="0"/>
          <c:showPercent val="0"/>
          <c:showBubbleSize val="0"/>
        </c:dLbls>
        <c:axId val="291219807"/>
        <c:axId val="666116415"/>
      </c:scatterChart>
      <c:valAx>
        <c:axId val="291219807"/>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Staff Hours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66116415"/>
        <c:crosses val="autoZero"/>
        <c:crossBetween val="midCat"/>
      </c:valAx>
      <c:valAx>
        <c:axId val="666116415"/>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Gross Proft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12198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Client Travel vs Gross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exp"/>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Data'!$B$73:$B$82</c:f>
              <c:numCache>
                <c:formatCode>General</c:formatCode>
                <c:ptCount val="10"/>
                <c:pt idx="0">
                  <c:v>4074</c:v>
                </c:pt>
                <c:pt idx="1">
                  <c:v>3630</c:v>
                </c:pt>
                <c:pt idx="2">
                  <c:v>4195</c:v>
                </c:pt>
                <c:pt idx="3">
                  <c:v>4345</c:v>
                </c:pt>
                <c:pt idx="4">
                  <c:v>1285</c:v>
                </c:pt>
                <c:pt idx="5">
                  <c:v>2729</c:v>
                </c:pt>
                <c:pt idx="6">
                  <c:v>1626</c:v>
                </c:pt>
                <c:pt idx="7">
                  <c:v>627</c:v>
                </c:pt>
                <c:pt idx="8">
                  <c:v>3254</c:v>
                </c:pt>
                <c:pt idx="9">
                  <c:v>1459</c:v>
                </c:pt>
              </c:numCache>
            </c:numRef>
          </c:xVal>
          <c:yVal>
            <c:numRef>
              <c:f>'[2]Updated Data'!$C$73:$C$82</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2ED0-492E-88F7-4489370AE7A5}"/>
            </c:ext>
          </c:extLst>
        </c:ser>
        <c:ser>
          <c:idx val="1"/>
          <c:order val="1"/>
          <c:tx>
            <c:v>Region 2</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trendline>
            <c:spPr>
              <a:ln w="9525" cap="rnd">
                <a:solidFill>
                  <a:schemeClr val="accent2"/>
                </a:solidFill>
              </a:ln>
              <a:effectLst/>
            </c:spPr>
            <c:trendlineType val="exp"/>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Data'!$B$94:$B$103</c:f>
              <c:numCache>
                <c:formatCode>General</c:formatCode>
                <c:ptCount val="10"/>
                <c:pt idx="0">
                  <c:v>4074</c:v>
                </c:pt>
                <c:pt idx="1">
                  <c:v>3630</c:v>
                </c:pt>
                <c:pt idx="2">
                  <c:v>4195</c:v>
                </c:pt>
                <c:pt idx="3">
                  <c:v>4345</c:v>
                </c:pt>
                <c:pt idx="4">
                  <c:v>1285</c:v>
                </c:pt>
                <c:pt idx="5">
                  <c:v>2729</c:v>
                </c:pt>
                <c:pt idx="6">
                  <c:v>1626</c:v>
                </c:pt>
                <c:pt idx="7">
                  <c:v>627</c:v>
                </c:pt>
                <c:pt idx="8">
                  <c:v>3254</c:v>
                </c:pt>
                <c:pt idx="9">
                  <c:v>1459</c:v>
                </c:pt>
              </c:numCache>
            </c:numRef>
          </c:xVal>
          <c:yVal>
            <c:numRef>
              <c:f>'[2]Updated Data'!$C$94:$C$103</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2ED0-492E-88F7-4489370AE7A5}"/>
            </c:ext>
          </c:extLst>
        </c:ser>
        <c:dLbls>
          <c:showLegendKey val="0"/>
          <c:showVal val="0"/>
          <c:showCatName val="0"/>
          <c:showSerName val="0"/>
          <c:showPercent val="0"/>
          <c:showBubbleSize val="0"/>
        </c:dLbls>
        <c:axId val="673770543"/>
        <c:axId val="670349887"/>
      </c:scatterChart>
      <c:valAx>
        <c:axId val="673770543"/>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Client Travel</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70349887"/>
        <c:crosses val="autoZero"/>
        <c:crossBetween val="midCat"/>
      </c:valAx>
      <c:valAx>
        <c:axId val="670349887"/>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Gross 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7377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Technology Support vs Gross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30617789810393"/>
          <c:y val="8.2361583240614947E-2"/>
          <c:w val="0.81680989584287356"/>
          <c:h val="0.78781417935133313"/>
        </c:manualLayout>
      </c:layout>
      <c:scatterChart>
        <c:scatterStyle val="lineMarker"/>
        <c:varyColors val="0"/>
        <c:ser>
          <c:idx val="0"/>
          <c:order val="0"/>
          <c:tx>
            <c:v>Region 1</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1"/>
            <c:trendlineLbl>
              <c:layout>
                <c:manualLayout>
                  <c:x val="-4.9306751420240781E-3"/>
                  <c:y val="4.658334252698477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'[2]Updated Data'!$B$117:$B$126</c:f>
              <c:numCache>
                <c:formatCode>General</c:formatCode>
                <c:ptCount val="10"/>
                <c:pt idx="0">
                  <c:v>1871</c:v>
                </c:pt>
                <c:pt idx="1">
                  <c:v>2025</c:v>
                </c:pt>
                <c:pt idx="2">
                  <c:v>575</c:v>
                </c:pt>
                <c:pt idx="3">
                  <c:v>1413</c:v>
                </c:pt>
                <c:pt idx="4">
                  <c:v>449</c:v>
                </c:pt>
                <c:pt idx="5">
                  <c:v>431</c:v>
                </c:pt>
                <c:pt idx="6">
                  <c:v>1987</c:v>
                </c:pt>
                <c:pt idx="7">
                  <c:v>1784</c:v>
                </c:pt>
                <c:pt idx="8">
                  <c:v>1764</c:v>
                </c:pt>
                <c:pt idx="9">
                  <c:v>1429</c:v>
                </c:pt>
              </c:numCache>
            </c:numRef>
          </c:xVal>
          <c:yVal>
            <c:numRef>
              <c:f>'[2]Updated Data'!$C$117:$C$126</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A673-4715-88C4-36912F5FCBBE}"/>
            </c:ext>
          </c:extLst>
        </c:ser>
        <c:ser>
          <c:idx val="1"/>
          <c:order val="1"/>
          <c:tx>
            <c:v>Region 2</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dispRSqr val="0"/>
            <c:dispEq val="1"/>
            <c:trendlineLbl>
              <c:layout>
                <c:manualLayout>
                  <c:x val="-5.3351663595255809E-3"/>
                  <c:y val="-7.129409838749284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'[2]Updated Data'!$B$138:$B$147</c:f>
              <c:numCache>
                <c:formatCode>General</c:formatCode>
                <c:ptCount val="10"/>
                <c:pt idx="0">
                  <c:v>1871</c:v>
                </c:pt>
                <c:pt idx="1">
                  <c:v>2025</c:v>
                </c:pt>
                <c:pt idx="2">
                  <c:v>575</c:v>
                </c:pt>
                <c:pt idx="3">
                  <c:v>1413</c:v>
                </c:pt>
                <c:pt idx="4">
                  <c:v>449</c:v>
                </c:pt>
                <c:pt idx="5">
                  <c:v>431</c:v>
                </c:pt>
                <c:pt idx="6">
                  <c:v>1987</c:v>
                </c:pt>
                <c:pt idx="7">
                  <c:v>1784</c:v>
                </c:pt>
                <c:pt idx="8">
                  <c:v>1764</c:v>
                </c:pt>
                <c:pt idx="9">
                  <c:v>1429</c:v>
                </c:pt>
              </c:numCache>
            </c:numRef>
          </c:xVal>
          <c:yVal>
            <c:numRef>
              <c:f>'[2]Updated Data'!$C$138:$C$147</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A673-4715-88C4-36912F5FCBBE}"/>
            </c:ext>
          </c:extLst>
        </c:ser>
        <c:dLbls>
          <c:showLegendKey val="0"/>
          <c:showVal val="0"/>
          <c:showCatName val="0"/>
          <c:showSerName val="0"/>
          <c:showPercent val="0"/>
          <c:showBubbleSize val="0"/>
        </c:dLbls>
        <c:axId val="661070527"/>
        <c:axId val="477957663"/>
      </c:scatterChart>
      <c:valAx>
        <c:axId val="661070527"/>
        <c:scaling>
          <c:orientation val="minMax"/>
          <c:min val="1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Technology Support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57663"/>
        <c:crosses val="autoZero"/>
        <c:crossBetween val="midCat"/>
      </c:valAx>
      <c:valAx>
        <c:axId val="477957663"/>
        <c:scaling>
          <c:orientation val="minMax"/>
          <c:min val="1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1070527"/>
        <c:crosses val="autoZero"/>
        <c:crossBetween val="midCat"/>
      </c:valAx>
      <c:spPr>
        <a:noFill/>
        <a:ln>
          <a:noFill/>
        </a:ln>
        <a:effectLst/>
      </c:spPr>
    </c:plotArea>
    <c:legend>
      <c:legendPos val="b"/>
      <c:layout>
        <c:manualLayout>
          <c:xMode val="edge"/>
          <c:yMode val="edge"/>
          <c:x val="0.19656723784933253"/>
          <c:y val="0.95508090956950542"/>
          <c:w val="0.56318275574676524"/>
          <c:h val="4.29345178185641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Expenses Per Region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9525" cap="rnd">
              <a:solidFill>
                <a:schemeClr val="accent1"/>
              </a:solidFill>
              <a:round/>
            </a:ln>
            <a:effectLst/>
          </c:spPr>
          <c:marker>
            <c:symbol val="none"/>
          </c:marker>
          <c:xVal>
            <c:numRef>
              <c:f>'[2]Updated Data'!$B$4:$B$13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xVal>
          <c:yVal>
            <c:numRef>
              <c:f>'[2]Updated Data'!$G$4:$G$13</c:f>
              <c:numCache>
                <c:formatCode>General</c:formatCode>
                <c:ptCount val="10"/>
                <c:pt idx="0">
                  <c:v>46448</c:v>
                </c:pt>
                <c:pt idx="1">
                  <c:v>47912</c:v>
                </c:pt>
                <c:pt idx="2">
                  <c:v>50759</c:v>
                </c:pt>
                <c:pt idx="3">
                  <c:v>45282</c:v>
                </c:pt>
                <c:pt idx="4">
                  <c:v>45076</c:v>
                </c:pt>
                <c:pt idx="5">
                  <c:v>37809</c:v>
                </c:pt>
                <c:pt idx="6">
                  <c:v>49102</c:v>
                </c:pt>
                <c:pt idx="7">
                  <c:v>40522</c:v>
                </c:pt>
                <c:pt idx="8">
                  <c:v>39418</c:v>
                </c:pt>
                <c:pt idx="9">
                  <c:v>45460</c:v>
                </c:pt>
              </c:numCache>
            </c:numRef>
          </c:yVal>
          <c:smooth val="0"/>
          <c:extLst>
            <c:ext xmlns:c16="http://schemas.microsoft.com/office/drawing/2014/chart" uri="{C3380CC4-5D6E-409C-BE32-E72D297353CC}">
              <c16:uniqueId val="{00000000-D506-4E1D-BA7A-720E576CF7B2}"/>
            </c:ext>
          </c:extLst>
        </c:ser>
        <c:ser>
          <c:idx val="1"/>
          <c:order val="1"/>
          <c:tx>
            <c:v>Region 2</c:v>
          </c:tx>
          <c:spPr>
            <a:ln w="9525" cap="rnd">
              <a:solidFill>
                <a:schemeClr val="accent2"/>
              </a:solidFill>
              <a:round/>
            </a:ln>
            <a:effectLst/>
          </c:spPr>
          <c:marker>
            <c:symbol val="none"/>
          </c:marker>
          <c:xVal>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xVal>
          <c:yVal>
            <c:numRef>
              <c:f>'[2]Updated Data'!$G$14:$G$23</c:f>
              <c:numCache>
                <c:formatCode>General</c:formatCode>
                <c:ptCount val="10"/>
                <c:pt idx="0">
                  <c:v>42630</c:v>
                </c:pt>
                <c:pt idx="1">
                  <c:v>51946</c:v>
                </c:pt>
                <c:pt idx="2">
                  <c:v>39674</c:v>
                </c:pt>
                <c:pt idx="3">
                  <c:v>50448</c:v>
                </c:pt>
                <c:pt idx="4">
                  <c:v>44891</c:v>
                </c:pt>
                <c:pt idx="5">
                  <c:v>51133</c:v>
                </c:pt>
                <c:pt idx="6">
                  <c:v>50246</c:v>
                </c:pt>
                <c:pt idx="7">
                  <c:v>51697</c:v>
                </c:pt>
                <c:pt idx="8">
                  <c:v>39554</c:v>
                </c:pt>
                <c:pt idx="9">
                  <c:v>54773</c:v>
                </c:pt>
              </c:numCache>
            </c:numRef>
          </c:yVal>
          <c:smooth val="0"/>
          <c:extLst>
            <c:ext xmlns:c16="http://schemas.microsoft.com/office/drawing/2014/chart" uri="{C3380CC4-5D6E-409C-BE32-E72D297353CC}">
              <c16:uniqueId val="{00000001-D506-4E1D-BA7A-720E576CF7B2}"/>
            </c:ext>
          </c:extLst>
        </c:ser>
        <c:dLbls>
          <c:showLegendKey val="0"/>
          <c:showVal val="0"/>
          <c:showCatName val="0"/>
          <c:showSerName val="0"/>
          <c:showPercent val="0"/>
          <c:showBubbleSize val="0"/>
        </c:dLbls>
        <c:axId val="1829140912"/>
        <c:axId val="1642676208"/>
      </c:scatterChart>
      <c:valAx>
        <c:axId val="1829140912"/>
        <c:scaling>
          <c:orientation val="minMax"/>
          <c:max val="2020"/>
          <c:min val="2011"/>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42676208"/>
        <c:crosses val="autoZero"/>
        <c:crossBetween val="midCat"/>
      </c:valAx>
      <c:valAx>
        <c:axId val="1642676208"/>
        <c:scaling>
          <c:orientation val="minMax"/>
          <c:max val="55000"/>
          <c:min val="3500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Expenses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291409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Overall Client Analysis Region 2</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'[2]Updated Data'!$C$3</c:f>
              <c:strCache>
                <c:ptCount val="1"/>
                <c:pt idx="0">
                  <c:v>Project Revenue</c:v>
                </c:pt>
              </c:strCache>
            </c:strRef>
          </c:tx>
          <c:spPr>
            <a:ln w="38100" cap="rnd">
              <a:solidFill>
                <a:schemeClr val="accent6"/>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Data'!$C$14:$C$23</c:f>
              <c:numCache>
                <c:formatCode>General</c:formatCode>
                <c:ptCount val="10"/>
                <c:pt idx="0">
                  <c:v>110343</c:v>
                </c:pt>
                <c:pt idx="1">
                  <c:v>116000</c:v>
                </c:pt>
                <c:pt idx="2">
                  <c:v>100000</c:v>
                </c:pt>
                <c:pt idx="3">
                  <c:v>112000</c:v>
                </c:pt>
                <c:pt idx="4">
                  <c:v>115000</c:v>
                </c:pt>
                <c:pt idx="5">
                  <c:v>115038</c:v>
                </c:pt>
                <c:pt idx="6">
                  <c:v>119594</c:v>
                </c:pt>
                <c:pt idx="7">
                  <c:v>120000</c:v>
                </c:pt>
                <c:pt idx="8">
                  <c:v>99469</c:v>
                </c:pt>
                <c:pt idx="9">
                  <c:v>122000</c:v>
                </c:pt>
              </c:numCache>
            </c:numRef>
          </c:val>
          <c:smooth val="0"/>
          <c:extLst>
            <c:ext xmlns:c16="http://schemas.microsoft.com/office/drawing/2014/chart" uri="{C3380CC4-5D6E-409C-BE32-E72D297353CC}">
              <c16:uniqueId val="{00000000-E0FE-4002-A0F2-1D221E5A5E18}"/>
            </c:ext>
          </c:extLst>
        </c:ser>
        <c:ser>
          <c:idx val="1"/>
          <c:order val="1"/>
          <c:tx>
            <c:strRef>
              <c:f>'[2]Updated Data'!$D$3</c:f>
              <c:strCache>
                <c:ptCount val="1"/>
                <c:pt idx="0">
                  <c:v>Staff Hours</c:v>
                </c:pt>
              </c:strCache>
            </c:strRef>
          </c:tx>
          <c:spPr>
            <a:ln w="38100" cap="rnd">
              <a:solidFill>
                <a:schemeClr val="accent5"/>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Data'!$D$14:$D$23</c:f>
              <c:numCache>
                <c:formatCode>General</c:formatCode>
                <c:ptCount val="10"/>
                <c:pt idx="0">
                  <c:v>35568</c:v>
                </c:pt>
                <c:pt idx="1">
                  <c:v>41549</c:v>
                </c:pt>
                <c:pt idx="2">
                  <c:v>32010</c:v>
                </c:pt>
                <c:pt idx="3">
                  <c:v>41991</c:v>
                </c:pt>
                <c:pt idx="4">
                  <c:v>30951</c:v>
                </c:pt>
                <c:pt idx="5">
                  <c:v>35809</c:v>
                </c:pt>
                <c:pt idx="6">
                  <c:v>39947</c:v>
                </c:pt>
                <c:pt idx="7">
                  <c:v>41138</c:v>
                </c:pt>
                <c:pt idx="8">
                  <c:v>34031</c:v>
                </c:pt>
                <c:pt idx="9">
                  <c:v>41389</c:v>
                </c:pt>
              </c:numCache>
            </c:numRef>
          </c:val>
          <c:smooth val="0"/>
          <c:extLst>
            <c:ext xmlns:c16="http://schemas.microsoft.com/office/drawing/2014/chart" uri="{C3380CC4-5D6E-409C-BE32-E72D297353CC}">
              <c16:uniqueId val="{00000001-E0FE-4002-A0F2-1D221E5A5E18}"/>
            </c:ext>
          </c:extLst>
        </c:ser>
        <c:ser>
          <c:idx val="2"/>
          <c:order val="2"/>
          <c:tx>
            <c:strRef>
              <c:f>'[2]Updated Data'!$E$3</c:f>
              <c:strCache>
                <c:ptCount val="1"/>
                <c:pt idx="0">
                  <c:v>Client Travel</c:v>
                </c:pt>
              </c:strCache>
            </c:strRef>
          </c:tx>
          <c:spPr>
            <a:ln w="38100" cap="rnd">
              <a:solidFill>
                <a:schemeClr val="accent4"/>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Data'!$E$14:$E$23</c:f>
              <c:numCache>
                <c:formatCode>General</c:formatCode>
                <c:ptCount val="10"/>
                <c:pt idx="0">
                  <c:v>3658</c:v>
                </c:pt>
                <c:pt idx="1">
                  <c:v>5053</c:v>
                </c:pt>
                <c:pt idx="2">
                  <c:v>3993</c:v>
                </c:pt>
                <c:pt idx="3">
                  <c:v>4091</c:v>
                </c:pt>
                <c:pt idx="4">
                  <c:v>9067</c:v>
                </c:pt>
                <c:pt idx="5">
                  <c:v>9520</c:v>
                </c:pt>
                <c:pt idx="6">
                  <c:v>5959</c:v>
                </c:pt>
                <c:pt idx="7">
                  <c:v>8466</c:v>
                </c:pt>
                <c:pt idx="8">
                  <c:v>2538</c:v>
                </c:pt>
                <c:pt idx="9">
                  <c:v>8692</c:v>
                </c:pt>
              </c:numCache>
            </c:numRef>
          </c:val>
          <c:smooth val="0"/>
          <c:extLst>
            <c:ext xmlns:c16="http://schemas.microsoft.com/office/drawing/2014/chart" uri="{C3380CC4-5D6E-409C-BE32-E72D297353CC}">
              <c16:uniqueId val="{00000002-E0FE-4002-A0F2-1D221E5A5E18}"/>
            </c:ext>
          </c:extLst>
        </c:ser>
        <c:ser>
          <c:idx val="3"/>
          <c:order val="3"/>
          <c:tx>
            <c:strRef>
              <c:f>'[2]Updated Data'!$F$3</c:f>
              <c:strCache>
                <c:ptCount val="1"/>
                <c:pt idx="0">
                  <c:v>Technology Support</c:v>
                </c:pt>
              </c:strCache>
            </c:strRef>
          </c:tx>
          <c:spPr>
            <a:ln w="38100" cap="rnd">
              <a:solidFill>
                <a:schemeClr val="accent6">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Data'!$F$14:$F$23</c:f>
              <c:numCache>
                <c:formatCode>General</c:formatCode>
                <c:ptCount val="10"/>
                <c:pt idx="0">
                  <c:v>3404</c:v>
                </c:pt>
                <c:pt idx="1">
                  <c:v>5344</c:v>
                </c:pt>
                <c:pt idx="2">
                  <c:v>3671</c:v>
                </c:pt>
                <c:pt idx="3">
                  <c:v>4366</c:v>
                </c:pt>
                <c:pt idx="4">
                  <c:v>4873</c:v>
                </c:pt>
                <c:pt idx="5">
                  <c:v>5804</c:v>
                </c:pt>
                <c:pt idx="6">
                  <c:v>4340</c:v>
                </c:pt>
                <c:pt idx="7">
                  <c:v>2093</c:v>
                </c:pt>
                <c:pt idx="8">
                  <c:v>2985</c:v>
                </c:pt>
                <c:pt idx="9">
                  <c:v>4692</c:v>
                </c:pt>
              </c:numCache>
            </c:numRef>
          </c:val>
          <c:smooth val="0"/>
          <c:extLst>
            <c:ext xmlns:c16="http://schemas.microsoft.com/office/drawing/2014/chart" uri="{C3380CC4-5D6E-409C-BE32-E72D297353CC}">
              <c16:uniqueId val="{00000003-E0FE-4002-A0F2-1D221E5A5E18}"/>
            </c:ext>
          </c:extLst>
        </c:ser>
        <c:ser>
          <c:idx val="4"/>
          <c:order val="4"/>
          <c:tx>
            <c:strRef>
              <c:f>'[2]Updated Data'!$G$3</c:f>
              <c:strCache>
                <c:ptCount val="1"/>
                <c:pt idx="0">
                  <c:v>Total Expenses</c:v>
                </c:pt>
              </c:strCache>
            </c:strRef>
          </c:tx>
          <c:spPr>
            <a:ln w="38100" cap="rnd">
              <a:solidFill>
                <a:schemeClr val="accent5">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Data'!$G$14:$G$23</c:f>
              <c:numCache>
                <c:formatCode>General</c:formatCode>
                <c:ptCount val="10"/>
                <c:pt idx="0">
                  <c:v>42630</c:v>
                </c:pt>
                <c:pt idx="1">
                  <c:v>51946</c:v>
                </c:pt>
                <c:pt idx="2">
                  <c:v>39674</c:v>
                </c:pt>
                <c:pt idx="3">
                  <c:v>50448</c:v>
                </c:pt>
                <c:pt idx="4">
                  <c:v>44891</c:v>
                </c:pt>
                <c:pt idx="5">
                  <c:v>51133</c:v>
                </c:pt>
                <c:pt idx="6">
                  <c:v>50246</c:v>
                </c:pt>
                <c:pt idx="7">
                  <c:v>51697</c:v>
                </c:pt>
                <c:pt idx="8">
                  <c:v>39554</c:v>
                </c:pt>
                <c:pt idx="9">
                  <c:v>54773</c:v>
                </c:pt>
              </c:numCache>
            </c:numRef>
          </c:val>
          <c:smooth val="0"/>
          <c:extLst>
            <c:ext xmlns:c16="http://schemas.microsoft.com/office/drawing/2014/chart" uri="{C3380CC4-5D6E-409C-BE32-E72D297353CC}">
              <c16:uniqueId val="{00000004-E0FE-4002-A0F2-1D221E5A5E18}"/>
            </c:ext>
          </c:extLst>
        </c:ser>
        <c:ser>
          <c:idx val="5"/>
          <c:order val="5"/>
          <c:tx>
            <c:strRef>
              <c:f>'[2]Updated Data'!$H$3</c:f>
              <c:strCache>
                <c:ptCount val="1"/>
                <c:pt idx="0">
                  <c:v>Gross Profit</c:v>
                </c:pt>
              </c:strCache>
            </c:strRef>
          </c:tx>
          <c:spPr>
            <a:ln w="38100" cap="rnd">
              <a:solidFill>
                <a:schemeClr val="accent4">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Data'!$H$14:$H$23</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val>
          <c:smooth val="0"/>
          <c:extLst>
            <c:ext xmlns:c16="http://schemas.microsoft.com/office/drawing/2014/chart" uri="{C3380CC4-5D6E-409C-BE32-E72D297353CC}">
              <c16:uniqueId val="{00000005-E0FE-4002-A0F2-1D221E5A5E18}"/>
            </c:ext>
          </c:extLst>
        </c:ser>
        <c:dLbls>
          <c:showLegendKey val="0"/>
          <c:showVal val="0"/>
          <c:showCatName val="0"/>
          <c:showSerName val="0"/>
          <c:showPercent val="0"/>
          <c:showBubbleSize val="0"/>
        </c:dLbls>
        <c:smooth val="0"/>
        <c:axId val="1128330928"/>
        <c:axId val="389163344"/>
      </c:lineChart>
      <c:catAx>
        <c:axId val="11283309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389163344"/>
        <c:crosses val="autoZero"/>
        <c:auto val="1"/>
        <c:lblAlgn val="ctr"/>
        <c:lblOffset val="100"/>
        <c:noMultiLvlLbl val="0"/>
      </c:catAx>
      <c:valAx>
        <c:axId val="38916334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330928"/>
        <c:crosses val="autoZero"/>
        <c:crossBetween val="between"/>
      </c:valAx>
      <c:spPr>
        <a:noFill/>
        <a:ln>
          <a:noFill/>
        </a:ln>
        <a:effectLst/>
      </c:spPr>
    </c:plotArea>
    <c:legend>
      <c:legendPos val="t"/>
      <c:layout>
        <c:manualLayout>
          <c:xMode val="edge"/>
          <c:yMode val="edge"/>
          <c:x val="7.6070584298028793E-2"/>
          <c:y val="0.10435809638288185"/>
          <c:w val="0.84480315545067219"/>
          <c:h val="4.3574254279320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Overall Client Analysis Region 1</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'[2]Updated Data'!$C$3</c:f>
              <c:strCache>
                <c:ptCount val="1"/>
                <c:pt idx="0">
                  <c:v>Project Revenue</c:v>
                </c:pt>
              </c:strCache>
            </c:strRef>
          </c:tx>
          <c:spPr>
            <a:ln w="38100" cap="rnd">
              <a:solidFill>
                <a:schemeClr val="accent6"/>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Data'!$C$4:$C$13</c:f>
              <c:numCache>
                <c:formatCode>General</c:formatCode>
                <c:ptCount val="10"/>
                <c:pt idx="0">
                  <c:v>70843</c:v>
                </c:pt>
                <c:pt idx="1">
                  <c:v>87858</c:v>
                </c:pt>
                <c:pt idx="2">
                  <c:v>93759</c:v>
                </c:pt>
                <c:pt idx="3">
                  <c:v>78612</c:v>
                </c:pt>
                <c:pt idx="4">
                  <c:v>81687</c:v>
                </c:pt>
                <c:pt idx="5">
                  <c:v>65578</c:v>
                </c:pt>
                <c:pt idx="6">
                  <c:v>89744</c:v>
                </c:pt>
                <c:pt idx="7">
                  <c:v>74268</c:v>
                </c:pt>
                <c:pt idx="8">
                  <c:v>68740</c:v>
                </c:pt>
                <c:pt idx="9">
                  <c:v>84425</c:v>
                </c:pt>
              </c:numCache>
            </c:numRef>
          </c:val>
          <c:smooth val="0"/>
          <c:extLst>
            <c:ext xmlns:c16="http://schemas.microsoft.com/office/drawing/2014/chart" uri="{C3380CC4-5D6E-409C-BE32-E72D297353CC}">
              <c16:uniqueId val="{00000000-8B66-43F9-980D-0BEB75F5CE1A}"/>
            </c:ext>
          </c:extLst>
        </c:ser>
        <c:ser>
          <c:idx val="1"/>
          <c:order val="1"/>
          <c:tx>
            <c:strRef>
              <c:f>'[2]Updated Data'!$D$3</c:f>
              <c:strCache>
                <c:ptCount val="1"/>
                <c:pt idx="0">
                  <c:v>Staff Hours</c:v>
                </c:pt>
              </c:strCache>
            </c:strRef>
          </c:tx>
          <c:spPr>
            <a:ln w="38100" cap="rnd">
              <a:solidFill>
                <a:schemeClr val="accent5"/>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Data'!$D$4:$D$13</c:f>
              <c:numCache>
                <c:formatCode>General</c:formatCode>
                <c:ptCount val="10"/>
                <c:pt idx="0">
                  <c:v>33441</c:v>
                </c:pt>
                <c:pt idx="1">
                  <c:v>31860</c:v>
                </c:pt>
                <c:pt idx="2">
                  <c:v>38325</c:v>
                </c:pt>
                <c:pt idx="3">
                  <c:v>31067</c:v>
                </c:pt>
                <c:pt idx="4">
                  <c:v>32870</c:v>
                </c:pt>
                <c:pt idx="5">
                  <c:v>25645</c:v>
                </c:pt>
                <c:pt idx="6">
                  <c:v>35190</c:v>
                </c:pt>
                <c:pt idx="7">
                  <c:v>27552</c:v>
                </c:pt>
                <c:pt idx="8">
                  <c:v>28877</c:v>
                </c:pt>
                <c:pt idx="9">
                  <c:v>34964</c:v>
                </c:pt>
              </c:numCache>
            </c:numRef>
          </c:val>
          <c:smooth val="0"/>
          <c:extLst>
            <c:ext xmlns:c16="http://schemas.microsoft.com/office/drawing/2014/chart" uri="{C3380CC4-5D6E-409C-BE32-E72D297353CC}">
              <c16:uniqueId val="{00000001-8B66-43F9-980D-0BEB75F5CE1A}"/>
            </c:ext>
          </c:extLst>
        </c:ser>
        <c:ser>
          <c:idx val="2"/>
          <c:order val="2"/>
          <c:tx>
            <c:strRef>
              <c:f>'[2]Updated Data'!$E$3</c:f>
              <c:strCache>
                <c:ptCount val="1"/>
                <c:pt idx="0">
                  <c:v>Client Travel</c:v>
                </c:pt>
              </c:strCache>
            </c:strRef>
          </c:tx>
          <c:spPr>
            <a:ln w="38100" cap="rnd">
              <a:solidFill>
                <a:schemeClr val="accent4"/>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Data'!$E$4:$E$13</c:f>
              <c:numCache>
                <c:formatCode>General</c:formatCode>
                <c:ptCount val="10"/>
                <c:pt idx="0">
                  <c:v>7732</c:v>
                </c:pt>
                <c:pt idx="1">
                  <c:v>8683</c:v>
                </c:pt>
                <c:pt idx="2">
                  <c:v>8188</c:v>
                </c:pt>
                <c:pt idx="3">
                  <c:v>8436</c:v>
                </c:pt>
                <c:pt idx="4">
                  <c:v>7782</c:v>
                </c:pt>
                <c:pt idx="5">
                  <c:v>6791</c:v>
                </c:pt>
                <c:pt idx="6">
                  <c:v>7585</c:v>
                </c:pt>
                <c:pt idx="7">
                  <c:v>9093</c:v>
                </c:pt>
                <c:pt idx="8">
                  <c:v>5792</c:v>
                </c:pt>
                <c:pt idx="9">
                  <c:v>7233</c:v>
                </c:pt>
              </c:numCache>
            </c:numRef>
          </c:val>
          <c:smooth val="0"/>
          <c:extLst>
            <c:ext xmlns:c16="http://schemas.microsoft.com/office/drawing/2014/chart" uri="{C3380CC4-5D6E-409C-BE32-E72D297353CC}">
              <c16:uniqueId val="{00000002-8B66-43F9-980D-0BEB75F5CE1A}"/>
            </c:ext>
          </c:extLst>
        </c:ser>
        <c:ser>
          <c:idx val="3"/>
          <c:order val="3"/>
          <c:tx>
            <c:strRef>
              <c:f>'[2]Updated Data'!$F$3</c:f>
              <c:strCache>
                <c:ptCount val="1"/>
                <c:pt idx="0">
                  <c:v>Technology Support</c:v>
                </c:pt>
              </c:strCache>
            </c:strRef>
          </c:tx>
          <c:spPr>
            <a:ln w="38100" cap="rnd">
              <a:solidFill>
                <a:schemeClr val="accent6">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Data'!$F$4:$F$13</c:f>
              <c:numCache>
                <c:formatCode>General</c:formatCode>
                <c:ptCount val="10"/>
                <c:pt idx="0">
                  <c:v>5275</c:v>
                </c:pt>
                <c:pt idx="1">
                  <c:v>7369</c:v>
                </c:pt>
                <c:pt idx="2">
                  <c:v>4246</c:v>
                </c:pt>
                <c:pt idx="3">
                  <c:v>5779</c:v>
                </c:pt>
                <c:pt idx="4">
                  <c:v>4424</c:v>
                </c:pt>
                <c:pt idx="5">
                  <c:v>5373</c:v>
                </c:pt>
                <c:pt idx="6">
                  <c:v>6327</c:v>
                </c:pt>
                <c:pt idx="7">
                  <c:v>3877</c:v>
                </c:pt>
                <c:pt idx="8">
                  <c:v>4749</c:v>
                </c:pt>
                <c:pt idx="9">
                  <c:v>3263</c:v>
                </c:pt>
              </c:numCache>
            </c:numRef>
          </c:val>
          <c:smooth val="0"/>
          <c:extLst>
            <c:ext xmlns:c16="http://schemas.microsoft.com/office/drawing/2014/chart" uri="{C3380CC4-5D6E-409C-BE32-E72D297353CC}">
              <c16:uniqueId val="{00000003-8B66-43F9-980D-0BEB75F5CE1A}"/>
            </c:ext>
          </c:extLst>
        </c:ser>
        <c:ser>
          <c:idx val="4"/>
          <c:order val="4"/>
          <c:tx>
            <c:strRef>
              <c:f>'[2]Updated Data'!$G$3</c:f>
              <c:strCache>
                <c:ptCount val="1"/>
                <c:pt idx="0">
                  <c:v>Total Expenses</c:v>
                </c:pt>
              </c:strCache>
            </c:strRef>
          </c:tx>
          <c:spPr>
            <a:ln w="38100" cap="rnd">
              <a:solidFill>
                <a:schemeClr val="accent5">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Data'!$G$4:$G$13</c:f>
              <c:numCache>
                <c:formatCode>General</c:formatCode>
                <c:ptCount val="10"/>
                <c:pt idx="0">
                  <c:v>46448</c:v>
                </c:pt>
                <c:pt idx="1">
                  <c:v>47912</c:v>
                </c:pt>
                <c:pt idx="2">
                  <c:v>50759</c:v>
                </c:pt>
                <c:pt idx="3">
                  <c:v>45282</c:v>
                </c:pt>
                <c:pt idx="4">
                  <c:v>45076</c:v>
                </c:pt>
                <c:pt idx="5">
                  <c:v>37809</c:v>
                </c:pt>
                <c:pt idx="6">
                  <c:v>49102</c:v>
                </c:pt>
                <c:pt idx="7">
                  <c:v>40522</c:v>
                </c:pt>
                <c:pt idx="8">
                  <c:v>39418</c:v>
                </c:pt>
                <c:pt idx="9">
                  <c:v>45460</c:v>
                </c:pt>
              </c:numCache>
            </c:numRef>
          </c:val>
          <c:smooth val="0"/>
          <c:extLst>
            <c:ext xmlns:c16="http://schemas.microsoft.com/office/drawing/2014/chart" uri="{C3380CC4-5D6E-409C-BE32-E72D297353CC}">
              <c16:uniqueId val="{00000004-8B66-43F9-980D-0BEB75F5CE1A}"/>
            </c:ext>
          </c:extLst>
        </c:ser>
        <c:ser>
          <c:idx val="5"/>
          <c:order val="5"/>
          <c:tx>
            <c:strRef>
              <c:f>'[2]Updated Data'!$H$3</c:f>
              <c:strCache>
                <c:ptCount val="1"/>
                <c:pt idx="0">
                  <c:v>Gross Profit</c:v>
                </c:pt>
              </c:strCache>
            </c:strRef>
          </c:tx>
          <c:spPr>
            <a:ln w="38100" cap="rnd">
              <a:solidFill>
                <a:schemeClr val="accent4">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Data'!$H$4:$H$13</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val>
          <c:smooth val="0"/>
          <c:extLst>
            <c:ext xmlns:c16="http://schemas.microsoft.com/office/drawing/2014/chart" uri="{C3380CC4-5D6E-409C-BE32-E72D297353CC}">
              <c16:uniqueId val="{00000005-8B66-43F9-980D-0BEB75F5CE1A}"/>
            </c:ext>
          </c:extLst>
        </c:ser>
        <c:dLbls>
          <c:showLegendKey val="0"/>
          <c:showVal val="0"/>
          <c:showCatName val="0"/>
          <c:showSerName val="0"/>
          <c:showPercent val="0"/>
          <c:showBubbleSize val="0"/>
        </c:dLbls>
        <c:smooth val="0"/>
        <c:axId val="1264648160"/>
        <c:axId val="396350064"/>
      </c:lineChart>
      <c:catAx>
        <c:axId val="126464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396350064"/>
        <c:crosses val="autoZero"/>
        <c:auto val="1"/>
        <c:lblAlgn val="ctr"/>
        <c:lblOffset val="100"/>
        <c:noMultiLvlLbl val="0"/>
      </c:catAx>
      <c:valAx>
        <c:axId val="3963500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481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Expenses Per Region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9525" cap="rnd">
              <a:solidFill>
                <a:schemeClr val="accent1"/>
              </a:solidFill>
              <a:round/>
            </a:ln>
            <a:effectLst/>
          </c:spPr>
          <c:marker>
            <c:symbol val="none"/>
          </c:marker>
          <c:xVal>
            <c:numRef>
              <c:f>'[2]Updated Data'!$B$4:$B$13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xVal>
          <c:yVal>
            <c:numRef>
              <c:f>'[2]Updated Data'!$G$4:$G$13</c:f>
              <c:numCache>
                <c:formatCode>General</c:formatCode>
                <c:ptCount val="10"/>
                <c:pt idx="0">
                  <c:v>46448</c:v>
                </c:pt>
                <c:pt idx="1">
                  <c:v>47912</c:v>
                </c:pt>
                <c:pt idx="2">
                  <c:v>50759</c:v>
                </c:pt>
                <c:pt idx="3">
                  <c:v>45282</c:v>
                </c:pt>
                <c:pt idx="4">
                  <c:v>45076</c:v>
                </c:pt>
                <c:pt idx="5">
                  <c:v>37809</c:v>
                </c:pt>
                <c:pt idx="6">
                  <c:v>49102</c:v>
                </c:pt>
                <c:pt idx="7">
                  <c:v>40522</c:v>
                </c:pt>
                <c:pt idx="8">
                  <c:v>39418</c:v>
                </c:pt>
                <c:pt idx="9">
                  <c:v>45460</c:v>
                </c:pt>
              </c:numCache>
            </c:numRef>
          </c:yVal>
          <c:smooth val="0"/>
          <c:extLst>
            <c:ext xmlns:c16="http://schemas.microsoft.com/office/drawing/2014/chart" uri="{C3380CC4-5D6E-409C-BE32-E72D297353CC}">
              <c16:uniqueId val="{00000000-7609-46BC-A9D6-AB5C8B76C204}"/>
            </c:ext>
          </c:extLst>
        </c:ser>
        <c:ser>
          <c:idx val="1"/>
          <c:order val="1"/>
          <c:tx>
            <c:v>Region 2</c:v>
          </c:tx>
          <c:spPr>
            <a:ln w="9525" cap="rnd">
              <a:solidFill>
                <a:schemeClr val="accent2"/>
              </a:solidFill>
              <a:round/>
            </a:ln>
            <a:effectLst/>
          </c:spPr>
          <c:marker>
            <c:symbol val="none"/>
          </c:marker>
          <c:xVal>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xVal>
          <c:yVal>
            <c:numRef>
              <c:f>'[2]Updated Data'!$G$14:$G$23</c:f>
              <c:numCache>
                <c:formatCode>General</c:formatCode>
                <c:ptCount val="10"/>
                <c:pt idx="0">
                  <c:v>42630</c:v>
                </c:pt>
                <c:pt idx="1">
                  <c:v>51946</c:v>
                </c:pt>
                <c:pt idx="2">
                  <c:v>39674</c:v>
                </c:pt>
                <c:pt idx="3">
                  <c:v>50448</c:v>
                </c:pt>
                <c:pt idx="4">
                  <c:v>44891</c:v>
                </c:pt>
                <c:pt idx="5">
                  <c:v>51133</c:v>
                </c:pt>
                <c:pt idx="6">
                  <c:v>50246</c:v>
                </c:pt>
                <c:pt idx="7">
                  <c:v>51697</c:v>
                </c:pt>
                <c:pt idx="8">
                  <c:v>39554</c:v>
                </c:pt>
                <c:pt idx="9">
                  <c:v>54773</c:v>
                </c:pt>
              </c:numCache>
            </c:numRef>
          </c:yVal>
          <c:smooth val="0"/>
          <c:extLst>
            <c:ext xmlns:c16="http://schemas.microsoft.com/office/drawing/2014/chart" uri="{C3380CC4-5D6E-409C-BE32-E72D297353CC}">
              <c16:uniqueId val="{00000001-7609-46BC-A9D6-AB5C8B76C204}"/>
            </c:ext>
          </c:extLst>
        </c:ser>
        <c:dLbls>
          <c:showLegendKey val="0"/>
          <c:showVal val="0"/>
          <c:showCatName val="0"/>
          <c:showSerName val="0"/>
          <c:showPercent val="0"/>
          <c:showBubbleSize val="0"/>
        </c:dLbls>
        <c:axId val="1829140912"/>
        <c:axId val="1642676208"/>
      </c:scatterChart>
      <c:valAx>
        <c:axId val="1829140912"/>
        <c:scaling>
          <c:orientation val="minMax"/>
          <c:max val="2020"/>
          <c:min val="2011"/>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42676208"/>
        <c:crosses val="autoZero"/>
        <c:crossBetween val="midCat"/>
      </c:valAx>
      <c:valAx>
        <c:axId val="1642676208"/>
        <c:scaling>
          <c:orientation val="minMax"/>
          <c:max val="55000"/>
          <c:min val="3500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Expenses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291409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Overall Client Analysis Region 1</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'[2]Updated Data'!$C$3</c:f>
              <c:strCache>
                <c:ptCount val="1"/>
                <c:pt idx="0">
                  <c:v>Project Revenue</c:v>
                </c:pt>
              </c:strCache>
            </c:strRef>
          </c:tx>
          <c:spPr>
            <a:ln w="38100" cap="rnd">
              <a:solidFill>
                <a:schemeClr val="accent6"/>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Data'!$C$4:$C$13</c:f>
              <c:numCache>
                <c:formatCode>General</c:formatCode>
                <c:ptCount val="10"/>
                <c:pt idx="0">
                  <c:v>70843</c:v>
                </c:pt>
                <c:pt idx="1">
                  <c:v>87858</c:v>
                </c:pt>
                <c:pt idx="2">
                  <c:v>93759</c:v>
                </c:pt>
                <c:pt idx="3">
                  <c:v>78612</c:v>
                </c:pt>
                <c:pt idx="4">
                  <c:v>81687</c:v>
                </c:pt>
                <c:pt idx="5">
                  <c:v>65578</c:v>
                </c:pt>
                <c:pt idx="6">
                  <c:v>89744</c:v>
                </c:pt>
                <c:pt idx="7">
                  <c:v>74268</c:v>
                </c:pt>
                <c:pt idx="8">
                  <c:v>68740</c:v>
                </c:pt>
                <c:pt idx="9">
                  <c:v>84425</c:v>
                </c:pt>
              </c:numCache>
            </c:numRef>
          </c:val>
          <c:smooth val="0"/>
          <c:extLst>
            <c:ext xmlns:c16="http://schemas.microsoft.com/office/drawing/2014/chart" uri="{C3380CC4-5D6E-409C-BE32-E72D297353CC}">
              <c16:uniqueId val="{00000000-5924-465B-AF73-03A60701ABA2}"/>
            </c:ext>
          </c:extLst>
        </c:ser>
        <c:ser>
          <c:idx val="1"/>
          <c:order val="1"/>
          <c:tx>
            <c:strRef>
              <c:f>'[2]Updated Data'!$D$3</c:f>
              <c:strCache>
                <c:ptCount val="1"/>
                <c:pt idx="0">
                  <c:v>Staff Hours</c:v>
                </c:pt>
              </c:strCache>
            </c:strRef>
          </c:tx>
          <c:spPr>
            <a:ln w="38100" cap="rnd">
              <a:solidFill>
                <a:schemeClr val="accent5"/>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Data'!$D$4:$D$13</c:f>
              <c:numCache>
                <c:formatCode>General</c:formatCode>
                <c:ptCount val="10"/>
                <c:pt idx="0">
                  <c:v>33441</c:v>
                </c:pt>
                <c:pt idx="1">
                  <c:v>31860</c:v>
                </c:pt>
                <c:pt idx="2">
                  <c:v>38325</c:v>
                </c:pt>
                <c:pt idx="3">
                  <c:v>31067</c:v>
                </c:pt>
                <c:pt idx="4">
                  <c:v>32870</c:v>
                </c:pt>
                <c:pt idx="5">
                  <c:v>25645</c:v>
                </c:pt>
                <c:pt idx="6">
                  <c:v>35190</c:v>
                </c:pt>
                <c:pt idx="7">
                  <c:v>27552</c:v>
                </c:pt>
                <c:pt idx="8">
                  <c:v>28877</c:v>
                </c:pt>
                <c:pt idx="9">
                  <c:v>34964</c:v>
                </c:pt>
              </c:numCache>
            </c:numRef>
          </c:val>
          <c:smooth val="0"/>
          <c:extLst>
            <c:ext xmlns:c16="http://schemas.microsoft.com/office/drawing/2014/chart" uri="{C3380CC4-5D6E-409C-BE32-E72D297353CC}">
              <c16:uniqueId val="{00000001-5924-465B-AF73-03A60701ABA2}"/>
            </c:ext>
          </c:extLst>
        </c:ser>
        <c:ser>
          <c:idx val="2"/>
          <c:order val="2"/>
          <c:tx>
            <c:strRef>
              <c:f>'[2]Updated Data'!$E$3</c:f>
              <c:strCache>
                <c:ptCount val="1"/>
                <c:pt idx="0">
                  <c:v>Client Travel</c:v>
                </c:pt>
              </c:strCache>
            </c:strRef>
          </c:tx>
          <c:spPr>
            <a:ln w="38100" cap="rnd">
              <a:solidFill>
                <a:schemeClr val="accent4"/>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Data'!$E$4:$E$13</c:f>
              <c:numCache>
                <c:formatCode>General</c:formatCode>
                <c:ptCount val="10"/>
                <c:pt idx="0">
                  <c:v>7732</c:v>
                </c:pt>
                <c:pt idx="1">
                  <c:v>8683</c:v>
                </c:pt>
                <c:pt idx="2">
                  <c:v>8188</c:v>
                </c:pt>
                <c:pt idx="3">
                  <c:v>8436</c:v>
                </c:pt>
                <c:pt idx="4">
                  <c:v>7782</c:v>
                </c:pt>
                <c:pt idx="5">
                  <c:v>6791</c:v>
                </c:pt>
                <c:pt idx="6">
                  <c:v>7585</c:v>
                </c:pt>
                <c:pt idx="7">
                  <c:v>9093</c:v>
                </c:pt>
                <c:pt idx="8">
                  <c:v>5792</c:v>
                </c:pt>
                <c:pt idx="9">
                  <c:v>7233</c:v>
                </c:pt>
              </c:numCache>
            </c:numRef>
          </c:val>
          <c:smooth val="0"/>
          <c:extLst>
            <c:ext xmlns:c16="http://schemas.microsoft.com/office/drawing/2014/chart" uri="{C3380CC4-5D6E-409C-BE32-E72D297353CC}">
              <c16:uniqueId val="{00000002-5924-465B-AF73-03A60701ABA2}"/>
            </c:ext>
          </c:extLst>
        </c:ser>
        <c:ser>
          <c:idx val="3"/>
          <c:order val="3"/>
          <c:tx>
            <c:strRef>
              <c:f>'[2]Updated Data'!$F$3</c:f>
              <c:strCache>
                <c:ptCount val="1"/>
                <c:pt idx="0">
                  <c:v>Technology Support</c:v>
                </c:pt>
              </c:strCache>
            </c:strRef>
          </c:tx>
          <c:spPr>
            <a:ln w="38100" cap="rnd">
              <a:solidFill>
                <a:schemeClr val="accent6">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Data'!$F$4:$F$13</c:f>
              <c:numCache>
                <c:formatCode>General</c:formatCode>
                <c:ptCount val="10"/>
                <c:pt idx="0">
                  <c:v>5275</c:v>
                </c:pt>
                <c:pt idx="1">
                  <c:v>7369</c:v>
                </c:pt>
                <c:pt idx="2">
                  <c:v>4246</c:v>
                </c:pt>
                <c:pt idx="3">
                  <c:v>5779</c:v>
                </c:pt>
                <c:pt idx="4">
                  <c:v>4424</c:v>
                </c:pt>
                <c:pt idx="5">
                  <c:v>5373</c:v>
                </c:pt>
                <c:pt idx="6">
                  <c:v>6327</c:v>
                </c:pt>
                <c:pt idx="7">
                  <c:v>3877</c:v>
                </c:pt>
                <c:pt idx="8">
                  <c:v>4749</c:v>
                </c:pt>
                <c:pt idx="9">
                  <c:v>3263</c:v>
                </c:pt>
              </c:numCache>
            </c:numRef>
          </c:val>
          <c:smooth val="0"/>
          <c:extLst>
            <c:ext xmlns:c16="http://schemas.microsoft.com/office/drawing/2014/chart" uri="{C3380CC4-5D6E-409C-BE32-E72D297353CC}">
              <c16:uniqueId val="{00000003-5924-465B-AF73-03A60701ABA2}"/>
            </c:ext>
          </c:extLst>
        </c:ser>
        <c:ser>
          <c:idx val="4"/>
          <c:order val="4"/>
          <c:tx>
            <c:strRef>
              <c:f>'[2]Updated Data'!$G$3</c:f>
              <c:strCache>
                <c:ptCount val="1"/>
                <c:pt idx="0">
                  <c:v>Total Expenses</c:v>
                </c:pt>
              </c:strCache>
            </c:strRef>
          </c:tx>
          <c:spPr>
            <a:ln w="38100" cap="rnd">
              <a:solidFill>
                <a:schemeClr val="accent5">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Data'!$G$4:$G$13</c:f>
              <c:numCache>
                <c:formatCode>General</c:formatCode>
                <c:ptCount val="10"/>
                <c:pt idx="0">
                  <c:v>46448</c:v>
                </c:pt>
                <c:pt idx="1">
                  <c:v>47912</c:v>
                </c:pt>
                <c:pt idx="2">
                  <c:v>50759</c:v>
                </c:pt>
                <c:pt idx="3">
                  <c:v>45282</c:v>
                </c:pt>
                <c:pt idx="4">
                  <c:v>45076</c:v>
                </c:pt>
                <c:pt idx="5">
                  <c:v>37809</c:v>
                </c:pt>
                <c:pt idx="6">
                  <c:v>49102</c:v>
                </c:pt>
                <c:pt idx="7">
                  <c:v>40522</c:v>
                </c:pt>
                <c:pt idx="8">
                  <c:v>39418</c:v>
                </c:pt>
                <c:pt idx="9">
                  <c:v>45460</c:v>
                </c:pt>
              </c:numCache>
            </c:numRef>
          </c:val>
          <c:smooth val="0"/>
          <c:extLst>
            <c:ext xmlns:c16="http://schemas.microsoft.com/office/drawing/2014/chart" uri="{C3380CC4-5D6E-409C-BE32-E72D297353CC}">
              <c16:uniqueId val="{00000004-5924-465B-AF73-03A60701ABA2}"/>
            </c:ext>
          </c:extLst>
        </c:ser>
        <c:ser>
          <c:idx val="5"/>
          <c:order val="5"/>
          <c:tx>
            <c:strRef>
              <c:f>'[2]Updated Data'!$H$3</c:f>
              <c:strCache>
                <c:ptCount val="1"/>
                <c:pt idx="0">
                  <c:v>Gross Profit</c:v>
                </c:pt>
              </c:strCache>
            </c:strRef>
          </c:tx>
          <c:spPr>
            <a:ln w="38100" cap="rnd">
              <a:solidFill>
                <a:schemeClr val="accent4">
                  <a:lumMod val="60000"/>
                </a:schemeClr>
              </a:solidFill>
              <a:round/>
            </a:ln>
            <a:effectLst/>
          </c:spPr>
          <c:marker>
            <c:symbol val="none"/>
          </c:marker>
          <c:cat>
            <c:numRef>
              <c:f>'Main Data with Charts'!$B$4:$B$13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Data'!$H$4:$H$13</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val>
          <c:smooth val="0"/>
          <c:extLst>
            <c:ext xmlns:c16="http://schemas.microsoft.com/office/drawing/2014/chart" uri="{C3380CC4-5D6E-409C-BE32-E72D297353CC}">
              <c16:uniqueId val="{00000005-5924-465B-AF73-03A60701ABA2}"/>
            </c:ext>
          </c:extLst>
        </c:ser>
        <c:dLbls>
          <c:showLegendKey val="0"/>
          <c:showVal val="0"/>
          <c:showCatName val="0"/>
          <c:showSerName val="0"/>
          <c:showPercent val="0"/>
          <c:showBubbleSize val="0"/>
        </c:dLbls>
        <c:smooth val="0"/>
        <c:axId val="1264648160"/>
        <c:axId val="396350064"/>
      </c:lineChart>
      <c:catAx>
        <c:axId val="126464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396350064"/>
        <c:crosses val="autoZero"/>
        <c:auto val="1"/>
        <c:lblAlgn val="ctr"/>
        <c:lblOffset val="100"/>
        <c:noMultiLvlLbl val="0"/>
      </c:catAx>
      <c:valAx>
        <c:axId val="3963500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6481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Overall Client Analysis Region 2</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strRef>
              <c:f>'[2]Updated Data'!$C$3</c:f>
              <c:strCache>
                <c:ptCount val="1"/>
                <c:pt idx="0">
                  <c:v>Project Revenue</c:v>
                </c:pt>
              </c:strCache>
            </c:strRef>
          </c:tx>
          <c:spPr>
            <a:ln w="38100" cap="rnd">
              <a:solidFill>
                <a:schemeClr val="accent6"/>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Data'!$C$14:$C$23</c:f>
              <c:numCache>
                <c:formatCode>General</c:formatCode>
                <c:ptCount val="10"/>
                <c:pt idx="0">
                  <c:v>110343</c:v>
                </c:pt>
                <c:pt idx="1">
                  <c:v>116000</c:v>
                </c:pt>
                <c:pt idx="2">
                  <c:v>100000</c:v>
                </c:pt>
                <c:pt idx="3">
                  <c:v>112000</c:v>
                </c:pt>
                <c:pt idx="4">
                  <c:v>115000</c:v>
                </c:pt>
                <c:pt idx="5">
                  <c:v>115038</c:v>
                </c:pt>
                <c:pt idx="6">
                  <c:v>119594</c:v>
                </c:pt>
                <c:pt idx="7">
                  <c:v>120000</c:v>
                </c:pt>
                <c:pt idx="8">
                  <c:v>99469</c:v>
                </c:pt>
                <c:pt idx="9">
                  <c:v>122000</c:v>
                </c:pt>
              </c:numCache>
            </c:numRef>
          </c:val>
          <c:smooth val="0"/>
          <c:extLst>
            <c:ext xmlns:c16="http://schemas.microsoft.com/office/drawing/2014/chart" uri="{C3380CC4-5D6E-409C-BE32-E72D297353CC}">
              <c16:uniqueId val="{00000000-2D3E-4165-9658-6D803BF1BAEB}"/>
            </c:ext>
          </c:extLst>
        </c:ser>
        <c:ser>
          <c:idx val="1"/>
          <c:order val="1"/>
          <c:tx>
            <c:strRef>
              <c:f>'[2]Updated Data'!$D$3</c:f>
              <c:strCache>
                <c:ptCount val="1"/>
                <c:pt idx="0">
                  <c:v>Staff Hours</c:v>
                </c:pt>
              </c:strCache>
            </c:strRef>
          </c:tx>
          <c:spPr>
            <a:ln w="38100" cap="rnd">
              <a:solidFill>
                <a:schemeClr val="accent5"/>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Data'!$D$14:$D$23</c:f>
              <c:numCache>
                <c:formatCode>General</c:formatCode>
                <c:ptCount val="10"/>
                <c:pt idx="0">
                  <c:v>35568</c:v>
                </c:pt>
                <c:pt idx="1">
                  <c:v>41549</c:v>
                </c:pt>
                <c:pt idx="2">
                  <c:v>32010</c:v>
                </c:pt>
                <c:pt idx="3">
                  <c:v>41991</c:v>
                </c:pt>
                <c:pt idx="4">
                  <c:v>30951</c:v>
                </c:pt>
                <c:pt idx="5">
                  <c:v>35809</c:v>
                </c:pt>
                <c:pt idx="6">
                  <c:v>39947</c:v>
                </c:pt>
                <c:pt idx="7">
                  <c:v>41138</c:v>
                </c:pt>
                <c:pt idx="8">
                  <c:v>34031</c:v>
                </c:pt>
                <c:pt idx="9">
                  <c:v>41389</c:v>
                </c:pt>
              </c:numCache>
            </c:numRef>
          </c:val>
          <c:smooth val="0"/>
          <c:extLst>
            <c:ext xmlns:c16="http://schemas.microsoft.com/office/drawing/2014/chart" uri="{C3380CC4-5D6E-409C-BE32-E72D297353CC}">
              <c16:uniqueId val="{00000001-2D3E-4165-9658-6D803BF1BAEB}"/>
            </c:ext>
          </c:extLst>
        </c:ser>
        <c:ser>
          <c:idx val="2"/>
          <c:order val="2"/>
          <c:tx>
            <c:strRef>
              <c:f>'[2]Updated Data'!$E$3</c:f>
              <c:strCache>
                <c:ptCount val="1"/>
                <c:pt idx="0">
                  <c:v>Client Travel</c:v>
                </c:pt>
              </c:strCache>
            </c:strRef>
          </c:tx>
          <c:spPr>
            <a:ln w="38100" cap="rnd">
              <a:solidFill>
                <a:schemeClr val="accent4"/>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Data'!$E$14:$E$23</c:f>
              <c:numCache>
                <c:formatCode>General</c:formatCode>
                <c:ptCount val="10"/>
                <c:pt idx="0">
                  <c:v>3658</c:v>
                </c:pt>
                <c:pt idx="1">
                  <c:v>5053</c:v>
                </c:pt>
                <c:pt idx="2">
                  <c:v>3993</c:v>
                </c:pt>
                <c:pt idx="3">
                  <c:v>4091</c:v>
                </c:pt>
                <c:pt idx="4">
                  <c:v>9067</c:v>
                </c:pt>
                <c:pt idx="5">
                  <c:v>9520</c:v>
                </c:pt>
                <c:pt idx="6">
                  <c:v>5959</c:v>
                </c:pt>
                <c:pt idx="7">
                  <c:v>8466</c:v>
                </c:pt>
                <c:pt idx="8">
                  <c:v>2538</c:v>
                </c:pt>
                <c:pt idx="9">
                  <c:v>8692</c:v>
                </c:pt>
              </c:numCache>
            </c:numRef>
          </c:val>
          <c:smooth val="0"/>
          <c:extLst>
            <c:ext xmlns:c16="http://schemas.microsoft.com/office/drawing/2014/chart" uri="{C3380CC4-5D6E-409C-BE32-E72D297353CC}">
              <c16:uniqueId val="{00000002-2D3E-4165-9658-6D803BF1BAEB}"/>
            </c:ext>
          </c:extLst>
        </c:ser>
        <c:ser>
          <c:idx val="3"/>
          <c:order val="3"/>
          <c:tx>
            <c:strRef>
              <c:f>'[2]Updated Data'!$F$3</c:f>
              <c:strCache>
                <c:ptCount val="1"/>
                <c:pt idx="0">
                  <c:v>Technology Support</c:v>
                </c:pt>
              </c:strCache>
            </c:strRef>
          </c:tx>
          <c:spPr>
            <a:ln w="38100" cap="rnd">
              <a:solidFill>
                <a:schemeClr val="accent6">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Data'!$F$14:$F$23</c:f>
              <c:numCache>
                <c:formatCode>General</c:formatCode>
                <c:ptCount val="10"/>
                <c:pt idx="0">
                  <c:v>3404</c:v>
                </c:pt>
                <c:pt idx="1">
                  <c:v>5344</c:v>
                </c:pt>
                <c:pt idx="2">
                  <c:v>3671</c:v>
                </c:pt>
                <c:pt idx="3">
                  <c:v>4366</c:v>
                </c:pt>
                <c:pt idx="4">
                  <c:v>4873</c:v>
                </c:pt>
                <c:pt idx="5">
                  <c:v>5804</c:v>
                </c:pt>
                <c:pt idx="6">
                  <c:v>4340</c:v>
                </c:pt>
                <c:pt idx="7">
                  <c:v>2093</c:v>
                </c:pt>
                <c:pt idx="8">
                  <c:v>2985</c:v>
                </c:pt>
                <c:pt idx="9">
                  <c:v>4692</c:v>
                </c:pt>
              </c:numCache>
            </c:numRef>
          </c:val>
          <c:smooth val="0"/>
          <c:extLst>
            <c:ext xmlns:c16="http://schemas.microsoft.com/office/drawing/2014/chart" uri="{C3380CC4-5D6E-409C-BE32-E72D297353CC}">
              <c16:uniqueId val="{00000003-2D3E-4165-9658-6D803BF1BAEB}"/>
            </c:ext>
          </c:extLst>
        </c:ser>
        <c:ser>
          <c:idx val="4"/>
          <c:order val="4"/>
          <c:tx>
            <c:strRef>
              <c:f>'[2]Updated Data'!$G$3</c:f>
              <c:strCache>
                <c:ptCount val="1"/>
                <c:pt idx="0">
                  <c:v>Total Expenses</c:v>
                </c:pt>
              </c:strCache>
            </c:strRef>
          </c:tx>
          <c:spPr>
            <a:ln w="38100" cap="rnd">
              <a:solidFill>
                <a:schemeClr val="accent5">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Data'!$G$14:$G$23</c:f>
              <c:numCache>
                <c:formatCode>General</c:formatCode>
                <c:ptCount val="10"/>
                <c:pt idx="0">
                  <c:v>42630</c:v>
                </c:pt>
                <c:pt idx="1">
                  <c:v>51946</c:v>
                </c:pt>
                <c:pt idx="2">
                  <c:v>39674</c:v>
                </c:pt>
                <c:pt idx="3">
                  <c:v>50448</c:v>
                </c:pt>
                <c:pt idx="4">
                  <c:v>44891</c:v>
                </c:pt>
                <c:pt idx="5">
                  <c:v>51133</c:v>
                </c:pt>
                <c:pt idx="6">
                  <c:v>50246</c:v>
                </c:pt>
                <c:pt idx="7">
                  <c:v>51697</c:v>
                </c:pt>
                <c:pt idx="8">
                  <c:v>39554</c:v>
                </c:pt>
                <c:pt idx="9">
                  <c:v>54773</c:v>
                </c:pt>
              </c:numCache>
            </c:numRef>
          </c:val>
          <c:smooth val="0"/>
          <c:extLst>
            <c:ext xmlns:c16="http://schemas.microsoft.com/office/drawing/2014/chart" uri="{C3380CC4-5D6E-409C-BE32-E72D297353CC}">
              <c16:uniqueId val="{00000004-2D3E-4165-9658-6D803BF1BAEB}"/>
            </c:ext>
          </c:extLst>
        </c:ser>
        <c:ser>
          <c:idx val="5"/>
          <c:order val="5"/>
          <c:tx>
            <c:strRef>
              <c:f>'[2]Updated Data'!$H$3</c:f>
              <c:strCache>
                <c:ptCount val="1"/>
                <c:pt idx="0">
                  <c:v>Gross Profit</c:v>
                </c:pt>
              </c:strCache>
            </c:strRef>
          </c:tx>
          <c:spPr>
            <a:ln w="38100" cap="rnd">
              <a:solidFill>
                <a:schemeClr val="accent4">
                  <a:lumMod val="60000"/>
                </a:schemeClr>
              </a:solidFill>
              <a:round/>
            </a:ln>
            <a:effectLst/>
          </c:spPr>
          <c:marker>
            <c:symbol val="none"/>
          </c:marker>
          <c:cat>
            <c:numRef>
              <c:f>'[2]Updated Data'!$B$14:$B$23</c:f>
              <c:numCache>
                <c:formatCode>General</c:formatCode>
                <c:ptCount val="10"/>
                <c:pt idx="0">
                  <c:v>2011</c:v>
                </c:pt>
                <c:pt idx="1">
                  <c:v>2012</c:v>
                </c:pt>
                <c:pt idx="2">
                  <c:v>2013</c:v>
                </c:pt>
                <c:pt idx="3">
                  <c:v>2014</c:v>
                </c:pt>
                <c:pt idx="4">
                  <c:v>2015</c:v>
                </c:pt>
                <c:pt idx="5">
                  <c:v>2016</c:v>
                </c:pt>
                <c:pt idx="6">
                  <c:v>2017</c:v>
                </c:pt>
                <c:pt idx="7">
                  <c:v>2018</c:v>
                </c:pt>
                <c:pt idx="8">
                  <c:v>2019</c:v>
                </c:pt>
                <c:pt idx="9">
                  <c:v>2020</c:v>
                </c:pt>
              </c:numCache>
            </c:numRef>
          </c:cat>
          <c:val>
            <c:numRef>
              <c:f>'[2]Updated Data'!$H$14:$H$23</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val>
          <c:smooth val="0"/>
          <c:extLst>
            <c:ext xmlns:c16="http://schemas.microsoft.com/office/drawing/2014/chart" uri="{C3380CC4-5D6E-409C-BE32-E72D297353CC}">
              <c16:uniqueId val="{00000005-2D3E-4165-9658-6D803BF1BAEB}"/>
            </c:ext>
          </c:extLst>
        </c:ser>
        <c:dLbls>
          <c:showLegendKey val="0"/>
          <c:showVal val="0"/>
          <c:showCatName val="0"/>
          <c:showSerName val="0"/>
          <c:showPercent val="0"/>
          <c:showBubbleSize val="0"/>
        </c:dLbls>
        <c:smooth val="0"/>
        <c:axId val="1128330928"/>
        <c:axId val="389163344"/>
      </c:lineChart>
      <c:catAx>
        <c:axId val="112833092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389163344"/>
        <c:crosses val="autoZero"/>
        <c:auto val="1"/>
        <c:lblAlgn val="ctr"/>
        <c:lblOffset val="100"/>
        <c:noMultiLvlLbl val="0"/>
      </c:catAx>
      <c:valAx>
        <c:axId val="38916334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330928"/>
        <c:crosses val="autoZero"/>
        <c:crossBetween val="between"/>
      </c:valAx>
      <c:spPr>
        <a:noFill/>
        <a:ln>
          <a:noFill/>
        </a:ln>
        <a:effectLst/>
      </c:spPr>
    </c:plotArea>
    <c:legend>
      <c:legendPos val="t"/>
      <c:layout>
        <c:manualLayout>
          <c:xMode val="edge"/>
          <c:yMode val="edge"/>
          <c:x val="7.6070584298028793E-2"/>
          <c:y val="0.10435809638288185"/>
          <c:w val="0.84480315545067219"/>
          <c:h val="4.3574254279320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1" i="0">
                <a:solidFill>
                  <a:srgbClr val="757575"/>
                </a:solidFill>
                <a:latin typeface="+mn-lt"/>
              </a:defRPr>
            </a:pPr>
            <a:r>
              <a:rPr lang="en-US" b="1" i="0">
                <a:solidFill>
                  <a:srgbClr val="757575"/>
                </a:solidFill>
                <a:latin typeface="+mn-lt"/>
              </a:rPr>
              <a:t>Region 1 Expenses (2011-2020)</a:t>
            </a:r>
          </a:p>
        </c:rich>
      </c:tx>
      <c:layout>
        <c:manualLayout>
          <c:xMode val="edge"/>
          <c:yMode val="edge"/>
          <c:x val="0.20279025475319556"/>
          <c:y val="4.63173771434712E-2"/>
        </c:manualLayout>
      </c:layout>
      <c:overlay val="0"/>
    </c:title>
    <c:autoTitleDeleted val="0"/>
    <c:plotArea>
      <c:layout/>
      <c:barChart>
        <c:barDir val="col"/>
        <c:grouping val="clustered"/>
        <c:varyColors val="1"/>
        <c:ser>
          <c:idx val="0"/>
          <c:order val="0"/>
          <c:tx>
            <c:v>Frequency</c:v>
          </c:tx>
          <c:spPr>
            <a:solidFill>
              <a:srgbClr val="FFC000"/>
            </a:solidFill>
          </c:spPr>
          <c:invertIfNegative val="1"/>
          <c:cat>
            <c:numRef>
              <c:f>'[3]Main Data with Charts'!$AM$31:$AM$36</c:f>
              <c:numCache>
                <c:formatCode>General</c:formatCode>
                <c:ptCount val="6"/>
                <c:pt idx="0">
                  <c:v>35000</c:v>
                </c:pt>
                <c:pt idx="1">
                  <c:v>40000</c:v>
                </c:pt>
                <c:pt idx="2">
                  <c:v>45000</c:v>
                </c:pt>
                <c:pt idx="3">
                  <c:v>50000</c:v>
                </c:pt>
                <c:pt idx="4">
                  <c:v>55000</c:v>
                </c:pt>
              </c:numCache>
            </c:numRef>
          </c:cat>
          <c:val>
            <c:numRef>
              <c:f>'[3]Main Data with Charts'!$AN$31:$AN$36</c:f>
              <c:numCache>
                <c:formatCode>General</c:formatCode>
                <c:ptCount val="6"/>
                <c:pt idx="0">
                  <c:v>0</c:v>
                </c:pt>
                <c:pt idx="1">
                  <c:v>2</c:v>
                </c:pt>
                <c:pt idx="2">
                  <c:v>1</c:v>
                </c:pt>
                <c:pt idx="3">
                  <c:v>6</c:v>
                </c:pt>
                <c:pt idx="4">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3D4-44FF-9C44-F5E7728A97F5}"/>
            </c:ext>
          </c:extLst>
        </c:ser>
        <c:dLbls>
          <c:showLegendKey val="0"/>
          <c:showVal val="0"/>
          <c:showCatName val="0"/>
          <c:showSerName val="0"/>
          <c:showPercent val="0"/>
          <c:showBubbleSize val="0"/>
        </c:dLbls>
        <c:gapWidth val="150"/>
        <c:axId val="910310247"/>
        <c:axId val="239719111"/>
      </c:barChart>
      <c:catAx>
        <c:axId val="910310247"/>
        <c:scaling>
          <c:orientation val="minMax"/>
        </c:scaling>
        <c:delete val="0"/>
        <c:axPos val="b"/>
        <c:title>
          <c:tx>
            <c:rich>
              <a:bodyPr/>
              <a:lstStyle/>
              <a:p>
                <a:pPr lvl="0">
                  <a:defRPr b="1" i="0">
                    <a:solidFill>
                      <a:srgbClr val="000000"/>
                    </a:solidFill>
                    <a:latin typeface="+mn-lt"/>
                  </a:defRPr>
                </a:pPr>
                <a:r>
                  <a:rPr lang="en-US" b="1" i="0">
                    <a:solidFill>
                      <a:srgbClr val="000000"/>
                    </a:solidFill>
                    <a:latin typeface="+mn-lt"/>
                  </a:rPr>
                  <a:t>Expenses</a:t>
                </a: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239719111"/>
        <c:crosses val="autoZero"/>
        <c:auto val="1"/>
        <c:lblAlgn val="ctr"/>
        <c:lblOffset val="100"/>
        <c:noMultiLvlLbl val="1"/>
      </c:catAx>
      <c:valAx>
        <c:axId val="239719111"/>
        <c:scaling>
          <c:orientation val="minMax"/>
        </c:scaling>
        <c:delete val="0"/>
        <c:axPos val="l"/>
        <c:title>
          <c:tx>
            <c:rich>
              <a:bodyPr/>
              <a:lstStyle/>
              <a:p>
                <a:pPr lvl="0">
                  <a:defRPr b="1" i="0">
                    <a:solidFill>
                      <a:srgbClr val="000000"/>
                    </a:solidFill>
                    <a:latin typeface="+mn-lt"/>
                  </a:defRPr>
                </a:pPr>
                <a:r>
                  <a:rPr lang="en-US" b="1" i="0">
                    <a:solidFill>
                      <a:srgbClr val="000000"/>
                    </a:solidFill>
                    <a:latin typeface="+mn-lt"/>
                  </a:rPr>
                  <a:t>Frequency</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910310247"/>
        <c:crosses val="autoZero"/>
        <c:crossBetween val="between"/>
      </c:valAx>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1" i="0">
                <a:solidFill>
                  <a:srgbClr val="757575"/>
                </a:solidFill>
                <a:latin typeface="+mn-lt"/>
              </a:defRPr>
            </a:pPr>
            <a:r>
              <a:rPr lang="en-US" b="1" i="0">
                <a:solidFill>
                  <a:srgbClr val="757575"/>
                </a:solidFill>
                <a:latin typeface="+mn-lt"/>
              </a:rPr>
              <a:t>Region 1 Profits (2011-2020)</a:t>
            </a:r>
          </a:p>
        </c:rich>
      </c:tx>
      <c:overlay val="0"/>
    </c:title>
    <c:autoTitleDeleted val="0"/>
    <c:plotArea>
      <c:layout>
        <c:manualLayout>
          <c:xMode val="edge"/>
          <c:yMode val="edge"/>
          <c:x val="0.15594614646067906"/>
          <c:y val="0.20262979633119602"/>
          <c:w val="0.81326239174497883"/>
          <c:h val="0.56425961285992388"/>
        </c:manualLayout>
      </c:layout>
      <c:barChart>
        <c:barDir val="col"/>
        <c:grouping val="clustered"/>
        <c:varyColors val="1"/>
        <c:ser>
          <c:idx val="0"/>
          <c:order val="0"/>
          <c:tx>
            <c:v>Frequency</c:v>
          </c:tx>
          <c:spPr>
            <a:solidFill>
              <a:srgbClr val="FFC000"/>
            </a:solidFill>
          </c:spPr>
          <c:invertIfNegative val="1"/>
          <c:cat>
            <c:numRef>
              <c:f>'[3]Main Data with Charts'!$AQ$30:$AQ$37</c:f>
              <c:numCache>
                <c:formatCode>General</c:formatCode>
                <c:ptCount val="8"/>
                <c:pt idx="0">
                  <c:v>15000</c:v>
                </c:pt>
                <c:pt idx="1">
                  <c:v>20000</c:v>
                </c:pt>
                <c:pt idx="2">
                  <c:v>25000</c:v>
                </c:pt>
                <c:pt idx="3">
                  <c:v>30000</c:v>
                </c:pt>
                <c:pt idx="4">
                  <c:v>35000</c:v>
                </c:pt>
                <c:pt idx="5">
                  <c:v>40000</c:v>
                </c:pt>
                <c:pt idx="6">
                  <c:v>45000</c:v>
                </c:pt>
              </c:numCache>
            </c:numRef>
          </c:cat>
          <c:val>
            <c:numRef>
              <c:f>'[3]Main Data with Charts'!$AR$30:$AR$37</c:f>
              <c:numCache>
                <c:formatCode>General</c:formatCode>
                <c:ptCount val="8"/>
                <c:pt idx="0">
                  <c:v>1</c:v>
                </c:pt>
                <c:pt idx="1">
                  <c:v>0</c:v>
                </c:pt>
                <c:pt idx="2">
                  <c:v>0</c:v>
                </c:pt>
                <c:pt idx="3">
                  <c:v>2</c:v>
                </c:pt>
                <c:pt idx="4">
                  <c:v>2</c:v>
                </c:pt>
                <c:pt idx="5">
                  <c:v>3</c:v>
                </c:pt>
                <c:pt idx="6">
                  <c:v>2</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B67-4BC8-9D09-63E9D0E32DD8}"/>
            </c:ext>
          </c:extLst>
        </c:ser>
        <c:dLbls>
          <c:showLegendKey val="0"/>
          <c:showVal val="0"/>
          <c:showCatName val="0"/>
          <c:showSerName val="0"/>
          <c:showPercent val="0"/>
          <c:showBubbleSize val="0"/>
        </c:dLbls>
        <c:gapWidth val="150"/>
        <c:axId val="939942791"/>
        <c:axId val="1561795743"/>
      </c:barChart>
      <c:catAx>
        <c:axId val="939942791"/>
        <c:scaling>
          <c:orientation val="minMax"/>
        </c:scaling>
        <c:delete val="0"/>
        <c:axPos val="b"/>
        <c:title>
          <c:tx>
            <c:rich>
              <a:bodyPr/>
              <a:lstStyle/>
              <a:p>
                <a:pPr lvl="0">
                  <a:defRPr b="1" i="0">
                    <a:solidFill>
                      <a:srgbClr val="000000"/>
                    </a:solidFill>
                    <a:latin typeface="+mn-lt"/>
                  </a:defRPr>
                </a:pPr>
                <a:r>
                  <a:rPr lang="en-US" b="1" i="0">
                    <a:solidFill>
                      <a:srgbClr val="000000"/>
                    </a:solidFill>
                    <a:latin typeface="+mn-lt"/>
                  </a:rPr>
                  <a:t>Profit</a:t>
                </a: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561795743"/>
        <c:crosses val="autoZero"/>
        <c:auto val="1"/>
        <c:lblAlgn val="ctr"/>
        <c:lblOffset val="100"/>
        <c:noMultiLvlLbl val="1"/>
      </c:catAx>
      <c:valAx>
        <c:axId val="1561795743"/>
        <c:scaling>
          <c:orientation val="minMax"/>
        </c:scaling>
        <c:delete val="0"/>
        <c:axPos val="l"/>
        <c:title>
          <c:tx>
            <c:rich>
              <a:bodyPr/>
              <a:lstStyle/>
              <a:p>
                <a:pPr lvl="0">
                  <a:defRPr b="1" i="0">
                    <a:solidFill>
                      <a:srgbClr val="000000"/>
                    </a:solidFill>
                    <a:latin typeface="+mn-lt"/>
                  </a:defRPr>
                </a:pPr>
                <a:r>
                  <a:rPr lang="en-US" b="1" i="0">
                    <a:solidFill>
                      <a:srgbClr val="000000"/>
                    </a:solidFill>
                    <a:latin typeface="+mn-lt"/>
                  </a:rPr>
                  <a:t>Frequency</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939942791"/>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1" i="0">
                <a:solidFill>
                  <a:srgbClr val="757575"/>
                </a:solidFill>
                <a:latin typeface="+mn-lt"/>
              </a:defRPr>
            </a:pPr>
            <a:r>
              <a:rPr lang="en-US" b="1" i="0">
                <a:solidFill>
                  <a:srgbClr val="757575"/>
                </a:solidFill>
                <a:latin typeface="+mn-lt"/>
              </a:rPr>
              <a:t>Region 2 Expenses (2011-2020)</a:t>
            </a:r>
          </a:p>
        </c:rich>
      </c:tx>
      <c:layout>
        <c:manualLayout>
          <c:xMode val="edge"/>
          <c:yMode val="edge"/>
          <c:x val="0.29224048562454791"/>
          <c:y val="0"/>
        </c:manualLayout>
      </c:layout>
      <c:overlay val="0"/>
    </c:title>
    <c:autoTitleDeleted val="0"/>
    <c:plotArea>
      <c:layout>
        <c:manualLayout>
          <c:xMode val="edge"/>
          <c:yMode val="edge"/>
          <c:x val="0.10356209870247922"/>
          <c:y val="0.2112990954421349"/>
          <c:w val="0.86616460133500484"/>
          <c:h val="0.54561692644741211"/>
        </c:manualLayout>
      </c:layout>
      <c:barChart>
        <c:barDir val="col"/>
        <c:grouping val="clustered"/>
        <c:varyColors val="1"/>
        <c:ser>
          <c:idx val="0"/>
          <c:order val="0"/>
          <c:tx>
            <c:v>Frequency</c:v>
          </c:tx>
          <c:spPr>
            <a:solidFill>
              <a:srgbClr val="4472C4"/>
            </a:solidFill>
          </c:spPr>
          <c:invertIfNegative val="1"/>
          <c:cat>
            <c:numRef>
              <c:f>'[3]Main Data with Charts'!$AK$47:$AK$52</c:f>
              <c:numCache>
                <c:formatCode>General</c:formatCode>
                <c:ptCount val="6"/>
                <c:pt idx="0">
                  <c:v>35000</c:v>
                </c:pt>
                <c:pt idx="1">
                  <c:v>40000</c:v>
                </c:pt>
                <c:pt idx="2">
                  <c:v>45000</c:v>
                </c:pt>
                <c:pt idx="3">
                  <c:v>50000</c:v>
                </c:pt>
                <c:pt idx="4">
                  <c:v>55000</c:v>
                </c:pt>
              </c:numCache>
            </c:numRef>
          </c:cat>
          <c:val>
            <c:numRef>
              <c:f>'[3]Main Data with Charts'!$AL$47:$AL$52</c:f>
              <c:numCache>
                <c:formatCode>General</c:formatCode>
                <c:ptCount val="6"/>
                <c:pt idx="0">
                  <c:v>0</c:v>
                </c:pt>
                <c:pt idx="1">
                  <c:v>2</c:v>
                </c:pt>
                <c:pt idx="2">
                  <c:v>2</c:v>
                </c:pt>
                <c:pt idx="3">
                  <c:v>0</c:v>
                </c:pt>
                <c:pt idx="4">
                  <c:v>6</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BD1-4ADA-83FD-4103187D185D}"/>
            </c:ext>
          </c:extLst>
        </c:ser>
        <c:dLbls>
          <c:showLegendKey val="0"/>
          <c:showVal val="0"/>
          <c:showCatName val="0"/>
          <c:showSerName val="0"/>
          <c:showPercent val="0"/>
          <c:showBubbleSize val="0"/>
        </c:dLbls>
        <c:gapWidth val="150"/>
        <c:axId val="366897768"/>
        <c:axId val="668655696"/>
      </c:barChart>
      <c:catAx>
        <c:axId val="366897768"/>
        <c:scaling>
          <c:orientation val="minMax"/>
        </c:scaling>
        <c:delete val="0"/>
        <c:axPos val="b"/>
        <c:title>
          <c:tx>
            <c:rich>
              <a:bodyPr/>
              <a:lstStyle/>
              <a:p>
                <a:pPr lvl="0">
                  <a:defRPr b="1" i="0">
                    <a:solidFill>
                      <a:srgbClr val="000000"/>
                    </a:solidFill>
                    <a:latin typeface="+mn-lt"/>
                  </a:defRPr>
                </a:pPr>
                <a:r>
                  <a:rPr lang="en-US" b="1" i="0">
                    <a:solidFill>
                      <a:srgbClr val="000000"/>
                    </a:solidFill>
                    <a:latin typeface="+mn-lt"/>
                  </a:rPr>
                  <a:t>Expenses</a:t>
                </a: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668655696"/>
        <c:crosses val="autoZero"/>
        <c:auto val="1"/>
        <c:lblAlgn val="ctr"/>
        <c:lblOffset val="100"/>
        <c:noMultiLvlLbl val="1"/>
      </c:catAx>
      <c:valAx>
        <c:axId val="668655696"/>
        <c:scaling>
          <c:orientation val="minMax"/>
        </c:scaling>
        <c:delete val="0"/>
        <c:axPos val="l"/>
        <c:title>
          <c:tx>
            <c:rich>
              <a:bodyPr/>
              <a:lstStyle/>
              <a:p>
                <a:pPr lvl="0">
                  <a:defRPr b="1" i="0">
                    <a:solidFill>
                      <a:srgbClr val="000000"/>
                    </a:solidFill>
                    <a:latin typeface="+mn-lt"/>
                  </a:defRPr>
                </a:pPr>
                <a:r>
                  <a:rPr lang="en-US" b="1" i="0">
                    <a:solidFill>
                      <a:srgbClr val="000000"/>
                    </a:solidFill>
                    <a:latin typeface="+mn-lt"/>
                  </a:rPr>
                  <a:t>Frequency</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366897768"/>
        <c:crosses val="autoZero"/>
        <c:crossBetween val="between"/>
      </c:valAx>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b="1" i="0">
                <a:solidFill>
                  <a:srgbClr val="757575"/>
                </a:solidFill>
                <a:latin typeface="+mn-lt"/>
              </a:defRPr>
            </a:pPr>
            <a:r>
              <a:rPr lang="en-US" b="1" i="0">
                <a:solidFill>
                  <a:srgbClr val="757575"/>
                </a:solidFill>
                <a:latin typeface="+mn-lt"/>
              </a:rPr>
              <a:t>Region 2 Profits (2011-2020)</a:t>
            </a:r>
          </a:p>
        </c:rich>
      </c:tx>
      <c:overlay val="0"/>
    </c:title>
    <c:autoTitleDeleted val="0"/>
    <c:plotArea>
      <c:layout>
        <c:manualLayout>
          <c:xMode val="edge"/>
          <c:yMode val="edge"/>
          <c:x val="0.12628566625495635"/>
          <c:y val="0.20626053621215065"/>
          <c:w val="0.83679847453205392"/>
          <c:h val="0.54538473383907149"/>
        </c:manualLayout>
      </c:layout>
      <c:barChart>
        <c:barDir val="col"/>
        <c:grouping val="clustered"/>
        <c:varyColors val="1"/>
        <c:ser>
          <c:idx val="0"/>
          <c:order val="0"/>
          <c:spPr>
            <a:solidFill>
              <a:srgbClr val="4472C4"/>
            </a:solidFill>
          </c:spPr>
          <c:invertIfNegative val="1"/>
          <c:cat>
            <c:numRef>
              <c:f>'[3]Main Data with Charts'!$AR$46:$AR$51</c:f>
              <c:numCache>
                <c:formatCode>General</c:formatCode>
                <c:ptCount val="6"/>
                <c:pt idx="0">
                  <c:v>55000</c:v>
                </c:pt>
                <c:pt idx="1">
                  <c:v>60000</c:v>
                </c:pt>
                <c:pt idx="2">
                  <c:v>65000</c:v>
                </c:pt>
                <c:pt idx="3">
                  <c:v>70000</c:v>
                </c:pt>
                <c:pt idx="4">
                  <c:v>75000</c:v>
                </c:pt>
              </c:numCache>
            </c:numRef>
          </c:cat>
          <c:val>
            <c:numRef>
              <c:f>'[3]Main Data with Charts'!$AS$46:$AS$51</c:f>
              <c:numCache>
                <c:formatCode>General</c:formatCode>
                <c:ptCount val="6"/>
                <c:pt idx="0">
                  <c:v>0</c:v>
                </c:pt>
                <c:pt idx="1">
                  <c:v>1</c:v>
                </c:pt>
                <c:pt idx="2">
                  <c:v>4</c:v>
                </c:pt>
                <c:pt idx="3">
                  <c:v>4</c:v>
                </c:pt>
                <c:pt idx="4">
                  <c:v>1</c:v>
                </c:pt>
                <c:pt idx="5">
                  <c:v>#N/A</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290-4731-ABBB-4F2CD39F28CB}"/>
            </c:ext>
          </c:extLst>
        </c:ser>
        <c:dLbls>
          <c:showLegendKey val="0"/>
          <c:showVal val="0"/>
          <c:showCatName val="0"/>
          <c:showSerName val="0"/>
          <c:showPercent val="0"/>
          <c:showBubbleSize val="0"/>
        </c:dLbls>
        <c:gapWidth val="150"/>
        <c:axId val="1812702888"/>
        <c:axId val="1813784775"/>
      </c:barChart>
      <c:catAx>
        <c:axId val="1812702888"/>
        <c:scaling>
          <c:orientation val="minMax"/>
        </c:scaling>
        <c:delete val="0"/>
        <c:axPos val="b"/>
        <c:title>
          <c:tx>
            <c:rich>
              <a:bodyPr/>
              <a:lstStyle/>
              <a:p>
                <a:pPr lvl="0">
                  <a:defRPr b="1" i="0">
                    <a:solidFill>
                      <a:srgbClr val="000000"/>
                    </a:solidFill>
                    <a:latin typeface="+mn-lt"/>
                  </a:defRPr>
                </a:pPr>
                <a:r>
                  <a:rPr lang="en-US" b="1" i="0">
                    <a:solidFill>
                      <a:srgbClr val="000000"/>
                    </a:solidFill>
                    <a:latin typeface="+mn-lt"/>
                  </a:rPr>
                  <a:t>Profit</a:t>
                </a:r>
              </a:p>
            </c:rich>
          </c:tx>
          <c:overlay val="0"/>
        </c:title>
        <c:numFmt formatCode="General" sourceLinked="1"/>
        <c:majorTickMark val="out"/>
        <c:minorTickMark val="none"/>
        <c:tickLblPos val="nextTo"/>
        <c:txPr>
          <a:bodyPr/>
          <a:lstStyle/>
          <a:p>
            <a:pPr lvl="0">
              <a:defRPr b="0">
                <a:solidFill>
                  <a:srgbClr val="000000"/>
                </a:solidFill>
                <a:latin typeface="+mn-lt"/>
              </a:defRPr>
            </a:pPr>
            <a:endParaRPr lang="en-US"/>
          </a:p>
        </c:txPr>
        <c:crossAx val="1813784775"/>
        <c:crosses val="autoZero"/>
        <c:auto val="1"/>
        <c:lblAlgn val="ctr"/>
        <c:lblOffset val="100"/>
        <c:noMultiLvlLbl val="1"/>
      </c:catAx>
      <c:valAx>
        <c:axId val="1813784775"/>
        <c:scaling>
          <c:orientation val="minMax"/>
        </c:scaling>
        <c:delete val="0"/>
        <c:axPos val="l"/>
        <c:title>
          <c:tx>
            <c:rich>
              <a:bodyPr/>
              <a:lstStyle/>
              <a:p>
                <a:pPr lvl="0">
                  <a:defRPr b="1" i="0">
                    <a:solidFill>
                      <a:srgbClr val="000000"/>
                    </a:solidFill>
                    <a:latin typeface="+mn-lt"/>
                  </a:defRPr>
                </a:pPr>
                <a:r>
                  <a:rPr lang="en-US" b="1" i="0">
                    <a:solidFill>
                      <a:srgbClr val="000000"/>
                    </a:solidFill>
                    <a:latin typeface="+mn-lt"/>
                  </a:rPr>
                  <a:t>Frequency</a:t>
                </a:r>
              </a:p>
            </c:rich>
          </c:tx>
          <c:overlay val="0"/>
        </c:title>
        <c:numFmt formatCode="General" sourceLinked="1"/>
        <c:majorTickMark val="out"/>
        <c:minorTickMark val="none"/>
        <c:tickLblPos val="nextTo"/>
        <c:spPr>
          <a:ln/>
        </c:spPr>
        <c:txPr>
          <a:bodyPr/>
          <a:lstStyle/>
          <a:p>
            <a:pPr lvl="0">
              <a:defRPr b="0">
                <a:solidFill>
                  <a:srgbClr val="000000"/>
                </a:solidFill>
                <a:latin typeface="+mn-lt"/>
              </a:defRPr>
            </a:pPr>
            <a:endParaRPr lang="en-US"/>
          </a:p>
        </c:txPr>
        <c:crossAx val="1812702888"/>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[PWC-Project.xlsm]PivotTablesWithHistograms!PivotTable4</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PivotTablesWithHistograms!$K$9:$K$10</c:f>
              <c:strCache>
                <c:ptCount val="1"/>
                <c:pt idx="0">
                  <c:v>1</c:v>
                </c:pt>
              </c:strCache>
            </c:strRef>
          </c:tx>
          <c:spPr>
            <a:solidFill>
              <a:schemeClr val="accent1"/>
            </a:solidFill>
            <a:ln>
              <a:noFill/>
            </a:ln>
            <a:effectLst/>
          </c:spPr>
          <c:invertIfNegative val="0"/>
          <c:cat>
            <c:strRef>
              <c:f>PivotTablesWithHistograms!$J$11:$J$16</c:f>
              <c:strCache>
                <c:ptCount val="6"/>
                <c:pt idx="0">
                  <c:v>Staff Hours per Region</c:v>
                </c:pt>
                <c:pt idx="1">
                  <c:v>Client Travel per Region</c:v>
                </c:pt>
                <c:pt idx="2">
                  <c:v>Technology Support per Region</c:v>
                </c:pt>
                <c:pt idx="3">
                  <c:v>Total Expenses per Region</c:v>
                </c:pt>
                <c:pt idx="4">
                  <c:v>Project Revenue per Region</c:v>
                </c:pt>
                <c:pt idx="5">
                  <c:v>Gross Profit per Region</c:v>
                </c:pt>
              </c:strCache>
            </c:strRef>
          </c:cat>
          <c:val>
            <c:numRef>
              <c:f>PivotTablesWithHistograms!$K$11:$K$16</c:f>
              <c:numCache>
                <c:formatCode>General</c:formatCode>
                <c:ptCount val="6"/>
                <c:pt idx="0">
                  <c:v>33441</c:v>
                </c:pt>
                <c:pt idx="1">
                  <c:v>7732</c:v>
                </c:pt>
                <c:pt idx="2">
                  <c:v>5275</c:v>
                </c:pt>
                <c:pt idx="3">
                  <c:v>46448</c:v>
                </c:pt>
                <c:pt idx="4">
                  <c:v>60000</c:v>
                </c:pt>
                <c:pt idx="5">
                  <c:v>13552</c:v>
                </c:pt>
              </c:numCache>
            </c:numRef>
          </c:val>
          <c:extLst>
            <c:ext xmlns:c16="http://schemas.microsoft.com/office/drawing/2014/chart" uri="{C3380CC4-5D6E-409C-BE32-E72D297353CC}">
              <c16:uniqueId val="{00000000-53AF-47EF-B67F-1FCD5C7E0E99}"/>
            </c:ext>
          </c:extLst>
        </c:ser>
        <c:ser>
          <c:idx val="1"/>
          <c:order val="1"/>
          <c:tx>
            <c:strRef>
              <c:f>PivotTablesWithHistograms!$L$9:$L$10</c:f>
              <c:strCache>
                <c:ptCount val="1"/>
                <c:pt idx="0">
                  <c:v>2</c:v>
                </c:pt>
              </c:strCache>
            </c:strRef>
          </c:tx>
          <c:spPr>
            <a:solidFill>
              <a:schemeClr val="accent2"/>
            </a:solidFill>
            <a:ln>
              <a:noFill/>
            </a:ln>
            <a:effectLst/>
          </c:spPr>
          <c:invertIfNegative val="0"/>
          <c:cat>
            <c:strRef>
              <c:f>PivotTablesWithHistograms!$J$11:$J$16</c:f>
              <c:strCache>
                <c:ptCount val="6"/>
                <c:pt idx="0">
                  <c:v>Staff Hours per Region</c:v>
                </c:pt>
                <c:pt idx="1">
                  <c:v>Client Travel per Region</c:v>
                </c:pt>
                <c:pt idx="2">
                  <c:v>Technology Support per Region</c:v>
                </c:pt>
                <c:pt idx="3">
                  <c:v>Total Expenses per Region</c:v>
                </c:pt>
                <c:pt idx="4">
                  <c:v>Project Revenue per Region</c:v>
                </c:pt>
                <c:pt idx="5">
                  <c:v>Gross Profit per Region</c:v>
                </c:pt>
              </c:strCache>
            </c:strRef>
          </c:cat>
          <c:val>
            <c:numRef>
              <c:f>PivotTablesWithHistograms!$L$11:$L$16</c:f>
              <c:numCache>
                <c:formatCode>General</c:formatCode>
                <c:ptCount val="6"/>
                <c:pt idx="0">
                  <c:v>35568</c:v>
                </c:pt>
                <c:pt idx="1">
                  <c:v>3658</c:v>
                </c:pt>
                <c:pt idx="2">
                  <c:v>3404</c:v>
                </c:pt>
                <c:pt idx="3">
                  <c:v>42630</c:v>
                </c:pt>
                <c:pt idx="4">
                  <c:v>110343</c:v>
                </c:pt>
                <c:pt idx="5">
                  <c:v>67713</c:v>
                </c:pt>
              </c:numCache>
            </c:numRef>
          </c:val>
          <c:extLst>
            <c:ext xmlns:c16="http://schemas.microsoft.com/office/drawing/2014/chart" uri="{C3380CC4-5D6E-409C-BE32-E72D297353CC}">
              <c16:uniqueId val="{00000001-53AF-47EF-B67F-1FCD5C7E0E99}"/>
            </c:ext>
          </c:extLst>
        </c:ser>
        <c:dLbls>
          <c:showLegendKey val="0"/>
          <c:showVal val="0"/>
          <c:showCatName val="0"/>
          <c:showSerName val="0"/>
          <c:showPercent val="0"/>
          <c:showBubbleSize val="0"/>
        </c:dLbls>
        <c:gapWidth val="219"/>
        <c:overlap val="-27"/>
        <c:axId val="1950006528"/>
        <c:axId val="1950010688"/>
      </c:barChart>
      <c:catAx>
        <c:axId val="195000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010688"/>
        <c:crosses val="autoZero"/>
        <c:auto val="1"/>
        <c:lblAlgn val="ctr"/>
        <c:lblOffset val="100"/>
        <c:noMultiLvlLbl val="0"/>
      </c:catAx>
      <c:valAx>
        <c:axId val="19500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00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Staff Hours vs Gross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exp"/>
            <c:dispRSqr val="0"/>
            <c:dispEq val="1"/>
            <c:trendlineLbl>
              <c:layout>
                <c:manualLayout>
                  <c:x val="-3.9543283914335349E-3"/>
                  <c:y val="0.1060924156195489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Data'!$B$27:$B$36</c:f>
              <c:numCache>
                <c:formatCode>General</c:formatCode>
                <c:ptCount val="10"/>
                <c:pt idx="0">
                  <c:v>2127</c:v>
                </c:pt>
                <c:pt idx="1">
                  <c:v>9689</c:v>
                </c:pt>
                <c:pt idx="2">
                  <c:v>6315</c:v>
                </c:pt>
                <c:pt idx="3">
                  <c:v>10924</c:v>
                </c:pt>
                <c:pt idx="4">
                  <c:v>1919</c:v>
                </c:pt>
                <c:pt idx="5">
                  <c:v>10164</c:v>
                </c:pt>
                <c:pt idx="6">
                  <c:v>4757</c:v>
                </c:pt>
                <c:pt idx="7">
                  <c:v>13586</c:v>
                </c:pt>
                <c:pt idx="8">
                  <c:v>5154</c:v>
                </c:pt>
                <c:pt idx="9">
                  <c:v>6425</c:v>
                </c:pt>
              </c:numCache>
            </c:numRef>
          </c:xVal>
          <c:yVal>
            <c:numRef>
              <c:f>'[2]Updated Data'!$C$27:$C$36</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D2CA-4107-9FDC-5887650F4FB2}"/>
            </c:ext>
          </c:extLst>
        </c:ser>
        <c:ser>
          <c:idx val="1"/>
          <c:order val="1"/>
          <c:tx>
            <c:v>Region 2</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trendline>
            <c:spPr>
              <a:ln w="9525" cap="rnd">
                <a:solidFill>
                  <a:schemeClr val="accent2"/>
                </a:solidFill>
              </a:ln>
              <a:effectLst/>
            </c:spPr>
            <c:trendlineType val="exp"/>
            <c:dispRSqr val="0"/>
            <c:dispEq val="1"/>
            <c:trendlineLbl>
              <c:layout>
                <c:manualLayout>
                  <c:x val="-2.3498564882001196E-3"/>
                  <c:y val="-8.300003117295705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Data'!$B$48:$B$57</c:f>
              <c:numCache>
                <c:formatCode>General</c:formatCode>
                <c:ptCount val="10"/>
                <c:pt idx="0">
                  <c:v>2127</c:v>
                </c:pt>
                <c:pt idx="1">
                  <c:v>9689</c:v>
                </c:pt>
                <c:pt idx="2">
                  <c:v>6315</c:v>
                </c:pt>
                <c:pt idx="3">
                  <c:v>10924</c:v>
                </c:pt>
                <c:pt idx="4">
                  <c:v>1919</c:v>
                </c:pt>
                <c:pt idx="5">
                  <c:v>10164</c:v>
                </c:pt>
                <c:pt idx="6">
                  <c:v>4757</c:v>
                </c:pt>
                <c:pt idx="7">
                  <c:v>13586</c:v>
                </c:pt>
                <c:pt idx="8">
                  <c:v>5154</c:v>
                </c:pt>
                <c:pt idx="9">
                  <c:v>6425</c:v>
                </c:pt>
              </c:numCache>
            </c:numRef>
          </c:xVal>
          <c:yVal>
            <c:numRef>
              <c:f>'[2]Updated Data'!$C$48:$C$57</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D2CA-4107-9FDC-5887650F4FB2}"/>
            </c:ext>
          </c:extLst>
        </c:ser>
        <c:dLbls>
          <c:showLegendKey val="0"/>
          <c:showVal val="0"/>
          <c:showCatName val="0"/>
          <c:showSerName val="0"/>
          <c:showPercent val="0"/>
          <c:showBubbleSize val="0"/>
        </c:dLbls>
        <c:axId val="291219807"/>
        <c:axId val="666116415"/>
      </c:scatterChart>
      <c:valAx>
        <c:axId val="291219807"/>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Staff Hours</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66116415"/>
        <c:crosses val="autoZero"/>
        <c:crossBetween val="midCat"/>
      </c:valAx>
      <c:valAx>
        <c:axId val="666116415"/>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Gross Proft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12198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Client Travel vs Gross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v>Region 1</c:v>
          </c:tx>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exp"/>
            <c:dispRSqr val="0"/>
            <c:dispEq val="1"/>
            <c:trendlineLbl>
              <c:layout>
                <c:manualLayout>
                  <c:x val="-1.097845225487165E-3"/>
                  <c:y val="3.603152319138402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Data'!$B$73:$B$82</c:f>
              <c:numCache>
                <c:formatCode>General</c:formatCode>
                <c:ptCount val="10"/>
                <c:pt idx="0">
                  <c:v>4074</c:v>
                </c:pt>
                <c:pt idx="1">
                  <c:v>3630</c:v>
                </c:pt>
                <c:pt idx="2">
                  <c:v>4195</c:v>
                </c:pt>
                <c:pt idx="3">
                  <c:v>4345</c:v>
                </c:pt>
                <c:pt idx="4">
                  <c:v>1285</c:v>
                </c:pt>
                <c:pt idx="5">
                  <c:v>2729</c:v>
                </c:pt>
                <c:pt idx="6">
                  <c:v>1626</c:v>
                </c:pt>
                <c:pt idx="7">
                  <c:v>627</c:v>
                </c:pt>
                <c:pt idx="8">
                  <c:v>3254</c:v>
                </c:pt>
                <c:pt idx="9">
                  <c:v>1459</c:v>
                </c:pt>
              </c:numCache>
            </c:numRef>
          </c:xVal>
          <c:yVal>
            <c:numRef>
              <c:f>'[2]Updated Data'!$C$73:$C$82</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9766-46FD-BE5C-0212E00394B8}"/>
            </c:ext>
          </c:extLst>
        </c:ser>
        <c:ser>
          <c:idx val="1"/>
          <c:order val="1"/>
          <c:tx>
            <c:v>Region 2</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trendline>
            <c:spPr>
              <a:ln w="9525" cap="rnd">
                <a:solidFill>
                  <a:schemeClr val="accent2"/>
                </a:solidFill>
              </a:ln>
              <a:effectLst/>
            </c:spPr>
            <c:trendlineType val="exp"/>
            <c:dispRSqr val="0"/>
            <c:dispEq val="1"/>
            <c:trendlineLbl>
              <c:layout>
                <c:manualLayout>
                  <c:x val="1.3382800834106263E-2"/>
                  <c:y val="-2.698949453023798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'[2]Updated Data'!$B$94:$B$103</c:f>
              <c:numCache>
                <c:formatCode>General</c:formatCode>
                <c:ptCount val="10"/>
                <c:pt idx="0">
                  <c:v>4074</c:v>
                </c:pt>
                <c:pt idx="1">
                  <c:v>3630</c:v>
                </c:pt>
                <c:pt idx="2">
                  <c:v>4195</c:v>
                </c:pt>
                <c:pt idx="3">
                  <c:v>4345</c:v>
                </c:pt>
                <c:pt idx="4">
                  <c:v>1285</c:v>
                </c:pt>
                <c:pt idx="5">
                  <c:v>2729</c:v>
                </c:pt>
                <c:pt idx="6">
                  <c:v>1626</c:v>
                </c:pt>
                <c:pt idx="7">
                  <c:v>627</c:v>
                </c:pt>
                <c:pt idx="8">
                  <c:v>3254</c:v>
                </c:pt>
                <c:pt idx="9">
                  <c:v>1459</c:v>
                </c:pt>
              </c:numCache>
            </c:numRef>
          </c:xVal>
          <c:yVal>
            <c:numRef>
              <c:f>'[2]Updated Data'!$C$94:$C$103</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9766-46FD-BE5C-0212E00394B8}"/>
            </c:ext>
          </c:extLst>
        </c:ser>
        <c:dLbls>
          <c:showLegendKey val="0"/>
          <c:showVal val="0"/>
          <c:showCatName val="0"/>
          <c:showSerName val="0"/>
          <c:showPercent val="0"/>
          <c:showBubbleSize val="0"/>
        </c:dLbls>
        <c:axId val="673770543"/>
        <c:axId val="670349887"/>
      </c:scatterChart>
      <c:valAx>
        <c:axId val="673770543"/>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Client Travel</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70349887"/>
        <c:crosses val="autoZero"/>
        <c:crossBetween val="midCat"/>
      </c:valAx>
      <c:valAx>
        <c:axId val="670349887"/>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Gross 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7377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Technology Support vs Gross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30617789810393"/>
          <c:y val="8.2361583240614947E-2"/>
          <c:w val="0.69118972401209333"/>
          <c:h val="0.83257875292673555"/>
        </c:manualLayout>
      </c:layout>
      <c:scatterChart>
        <c:scatterStyle val="lineMarker"/>
        <c:varyColors val="0"/>
        <c:ser>
          <c:idx val="0"/>
          <c:order val="0"/>
          <c:tx>
            <c:v>Region 1</c:v>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1"/>
            <c:trendlineLbl>
              <c:layout>
                <c:manualLayout>
                  <c:x val="-4.9306751420240781E-3"/>
                  <c:y val="4.658334252698477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'[2]Updated Data'!$B$117:$B$126</c:f>
              <c:numCache>
                <c:formatCode>General</c:formatCode>
                <c:ptCount val="10"/>
                <c:pt idx="0">
                  <c:v>1871</c:v>
                </c:pt>
                <c:pt idx="1">
                  <c:v>2025</c:v>
                </c:pt>
                <c:pt idx="2">
                  <c:v>575</c:v>
                </c:pt>
                <c:pt idx="3">
                  <c:v>1413</c:v>
                </c:pt>
                <c:pt idx="4">
                  <c:v>449</c:v>
                </c:pt>
                <c:pt idx="5">
                  <c:v>431</c:v>
                </c:pt>
                <c:pt idx="6">
                  <c:v>1987</c:v>
                </c:pt>
                <c:pt idx="7">
                  <c:v>1784</c:v>
                </c:pt>
                <c:pt idx="8">
                  <c:v>1764</c:v>
                </c:pt>
                <c:pt idx="9">
                  <c:v>1429</c:v>
                </c:pt>
              </c:numCache>
            </c:numRef>
          </c:xVal>
          <c:yVal>
            <c:numRef>
              <c:f>'[2]Updated Data'!$C$117:$C$126</c:f>
              <c:numCache>
                <c:formatCode>General</c:formatCode>
                <c:ptCount val="10"/>
                <c:pt idx="0">
                  <c:v>24395</c:v>
                </c:pt>
                <c:pt idx="1">
                  <c:v>39946</c:v>
                </c:pt>
                <c:pt idx="2">
                  <c:v>43000</c:v>
                </c:pt>
                <c:pt idx="3">
                  <c:v>33330</c:v>
                </c:pt>
                <c:pt idx="4">
                  <c:v>36611</c:v>
                </c:pt>
                <c:pt idx="5">
                  <c:v>27769</c:v>
                </c:pt>
                <c:pt idx="6">
                  <c:v>40642</c:v>
                </c:pt>
                <c:pt idx="7">
                  <c:v>33746</c:v>
                </c:pt>
                <c:pt idx="8">
                  <c:v>29322</c:v>
                </c:pt>
                <c:pt idx="9">
                  <c:v>38965</c:v>
                </c:pt>
              </c:numCache>
            </c:numRef>
          </c:yVal>
          <c:smooth val="0"/>
          <c:extLst>
            <c:ext xmlns:c16="http://schemas.microsoft.com/office/drawing/2014/chart" uri="{C3380CC4-5D6E-409C-BE32-E72D297353CC}">
              <c16:uniqueId val="{00000001-6C79-477B-A667-5FAF57C73382}"/>
            </c:ext>
          </c:extLst>
        </c:ser>
        <c:ser>
          <c:idx val="1"/>
          <c:order val="1"/>
          <c:tx>
            <c:v>Region 2</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exp"/>
            <c:dispRSqr val="0"/>
            <c:dispEq val="1"/>
            <c:trendlineLbl>
              <c:layout>
                <c:manualLayout>
                  <c:x val="-5.3351663595255809E-3"/>
                  <c:y val="-7.129409838749284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'[2]Updated Data'!$B$138:$B$147</c:f>
              <c:numCache>
                <c:formatCode>General</c:formatCode>
                <c:ptCount val="10"/>
                <c:pt idx="0">
                  <c:v>1871</c:v>
                </c:pt>
                <c:pt idx="1">
                  <c:v>2025</c:v>
                </c:pt>
                <c:pt idx="2">
                  <c:v>575</c:v>
                </c:pt>
                <c:pt idx="3">
                  <c:v>1413</c:v>
                </c:pt>
                <c:pt idx="4">
                  <c:v>449</c:v>
                </c:pt>
                <c:pt idx="5">
                  <c:v>431</c:v>
                </c:pt>
                <c:pt idx="6">
                  <c:v>1987</c:v>
                </c:pt>
                <c:pt idx="7">
                  <c:v>1784</c:v>
                </c:pt>
                <c:pt idx="8">
                  <c:v>1764</c:v>
                </c:pt>
                <c:pt idx="9">
                  <c:v>1429</c:v>
                </c:pt>
              </c:numCache>
            </c:numRef>
          </c:xVal>
          <c:yVal>
            <c:numRef>
              <c:f>'[2]Updated Data'!$C$138:$C$147</c:f>
              <c:numCache>
                <c:formatCode>General</c:formatCode>
                <c:ptCount val="10"/>
                <c:pt idx="0">
                  <c:v>67713</c:v>
                </c:pt>
                <c:pt idx="1">
                  <c:v>64054</c:v>
                </c:pt>
                <c:pt idx="2">
                  <c:v>60326</c:v>
                </c:pt>
                <c:pt idx="3">
                  <c:v>61552</c:v>
                </c:pt>
                <c:pt idx="4">
                  <c:v>70109</c:v>
                </c:pt>
                <c:pt idx="5">
                  <c:v>63905</c:v>
                </c:pt>
                <c:pt idx="6">
                  <c:v>69348</c:v>
                </c:pt>
                <c:pt idx="7">
                  <c:v>68303</c:v>
                </c:pt>
                <c:pt idx="8">
                  <c:v>59915</c:v>
                </c:pt>
                <c:pt idx="9">
                  <c:v>67227</c:v>
                </c:pt>
              </c:numCache>
            </c:numRef>
          </c:yVal>
          <c:smooth val="0"/>
          <c:extLst>
            <c:ext xmlns:c16="http://schemas.microsoft.com/office/drawing/2014/chart" uri="{C3380CC4-5D6E-409C-BE32-E72D297353CC}">
              <c16:uniqueId val="{00000003-6C79-477B-A667-5FAF57C73382}"/>
            </c:ext>
          </c:extLst>
        </c:ser>
        <c:dLbls>
          <c:showLegendKey val="0"/>
          <c:showVal val="0"/>
          <c:showCatName val="0"/>
          <c:showSerName val="0"/>
          <c:showPercent val="0"/>
          <c:showBubbleSize val="0"/>
        </c:dLbls>
        <c:axId val="661070527"/>
        <c:axId val="477957663"/>
      </c:scatterChart>
      <c:valAx>
        <c:axId val="661070527"/>
        <c:scaling>
          <c:orientation val="minMax"/>
          <c:min val="1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Technology Support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57663"/>
        <c:crosses val="autoZero"/>
        <c:crossBetween val="midCat"/>
      </c:valAx>
      <c:valAx>
        <c:axId val="477957663"/>
        <c:scaling>
          <c:orientation val="minMax"/>
          <c:min val="1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107052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16</xdr:col>
      <xdr:colOff>438150</xdr:colOff>
      <xdr:row>1</xdr:row>
      <xdr:rowOff>85725</xdr:rowOff>
    </xdr:from>
    <xdr:ext cx="1219200" cy="342900"/>
    <xdr:sp macro="[0]!ShowLogInForm" textlink="">
      <xdr:nvSpPr>
        <xdr:cNvPr id="2" name="Shape 3">
          <a:extLst>
            <a:ext uri="{FF2B5EF4-FFF2-40B4-BE49-F238E27FC236}">
              <a16:creationId xmlns:a16="http://schemas.microsoft.com/office/drawing/2014/main" id="{9819AE1B-8488-4412-AEEC-D002A3F5153F}"/>
            </a:ext>
          </a:extLst>
        </xdr:cNvPr>
        <xdr:cNvSpPr/>
      </xdr:nvSpPr>
      <xdr:spPr>
        <a:xfrm>
          <a:off x="9734550" y="409575"/>
          <a:ext cx="1219200" cy="342900"/>
        </a:xfrm>
        <a:prstGeom prst="rect">
          <a:avLst/>
        </a:prstGeom>
        <a:solidFill>
          <a:srgbClr val="DEB71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0" cap="none">
              <a:solidFill>
                <a:schemeClr val="dk1"/>
              </a:solidFill>
              <a:latin typeface="Arial"/>
              <a:ea typeface="Arial"/>
              <a:cs typeface="Arial"/>
              <a:sym typeface="Arial"/>
            </a:rPr>
            <a:t>Log-In</a:t>
          </a:r>
          <a:endParaRPr sz="1400"/>
        </a:p>
      </xdr:txBody>
    </xdr:sp>
    <xdr:clientData fLocksWithSheet="0"/>
  </xdr:oneCellAnchor>
  <xdr:oneCellAnchor>
    <xdr:from>
      <xdr:col>0</xdr:col>
      <xdr:colOff>0</xdr:colOff>
      <xdr:row>3</xdr:row>
      <xdr:rowOff>9525</xdr:rowOff>
    </xdr:from>
    <xdr:ext cx="12211050" cy="3609975"/>
    <xdr:pic>
      <xdr:nvPicPr>
        <xdr:cNvPr id="3" name="image1.png">
          <a:extLst>
            <a:ext uri="{FF2B5EF4-FFF2-40B4-BE49-F238E27FC236}">
              <a16:creationId xmlns:a16="http://schemas.microsoft.com/office/drawing/2014/main" id="{52A6F5C3-A0F5-476E-81EA-61A76F2E4CB4}"/>
            </a:ext>
          </a:extLst>
        </xdr:cNvPr>
        <xdr:cNvPicPr preferRelativeResize="0"/>
      </xdr:nvPicPr>
      <xdr:blipFill>
        <a:blip xmlns:r="http://schemas.openxmlformats.org/officeDocument/2006/relationships" r:embed="rId1" cstate="print"/>
        <a:stretch>
          <a:fillRect/>
        </a:stretch>
      </xdr:blipFill>
      <xdr:spPr>
        <a:xfrm>
          <a:off x="0" y="885825"/>
          <a:ext cx="12211050" cy="360997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xdr:col>
      <xdr:colOff>0</xdr:colOff>
      <xdr:row>29</xdr:row>
      <xdr:rowOff>0</xdr:rowOff>
    </xdr:from>
    <xdr:to>
      <xdr:col>2</xdr:col>
      <xdr:colOff>447675</xdr:colOff>
      <xdr:row>30</xdr:row>
      <xdr:rowOff>171450</xdr:rowOff>
    </xdr:to>
    <xdr:sp macro="[0]!ShowNavigation" textlink="">
      <xdr:nvSpPr>
        <xdr:cNvPr id="2" name="Rectangle 1">
          <a:extLst>
            <a:ext uri="{FF2B5EF4-FFF2-40B4-BE49-F238E27FC236}">
              <a16:creationId xmlns:a16="http://schemas.microsoft.com/office/drawing/2014/main" id="{823F56B8-F1DD-46B3-8524-E60FF8DA0FDD}"/>
            </a:ext>
          </a:extLst>
        </xdr:cNvPr>
        <xdr:cNvSpPr/>
      </xdr:nvSpPr>
      <xdr:spPr>
        <a:xfrm>
          <a:off x="990600" y="564832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3</xdr:col>
      <xdr:colOff>0</xdr:colOff>
      <xdr:row>29</xdr:row>
      <xdr:rowOff>0</xdr:rowOff>
    </xdr:from>
    <xdr:to>
      <xdr:col>4</xdr:col>
      <xdr:colOff>76200</xdr:colOff>
      <xdr:row>30</xdr:row>
      <xdr:rowOff>171450</xdr:rowOff>
    </xdr:to>
    <xdr:sp macro="[0]!ExitButton" textlink="">
      <xdr:nvSpPr>
        <xdr:cNvPr id="3" name="Rectangle 2">
          <a:extLst>
            <a:ext uri="{FF2B5EF4-FFF2-40B4-BE49-F238E27FC236}">
              <a16:creationId xmlns:a16="http://schemas.microsoft.com/office/drawing/2014/main" id="{D6105741-75AC-435E-B09D-E2CC7D0350C6}"/>
            </a:ext>
          </a:extLst>
        </xdr:cNvPr>
        <xdr:cNvSpPr/>
      </xdr:nvSpPr>
      <xdr:spPr>
        <a:xfrm>
          <a:off x="3409950" y="564832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543815</xdr:colOff>
      <xdr:row>27</xdr:row>
      <xdr:rowOff>84089</xdr:rowOff>
    </xdr:from>
    <xdr:to>
      <xdr:col>28</xdr:col>
      <xdr:colOff>31390</xdr:colOff>
      <xdr:row>52</xdr:row>
      <xdr:rowOff>45583</xdr:rowOff>
    </xdr:to>
    <xdr:graphicFrame macro="">
      <xdr:nvGraphicFramePr>
        <xdr:cNvPr id="2" name="Chart 1">
          <a:extLst>
            <a:ext uri="{FF2B5EF4-FFF2-40B4-BE49-F238E27FC236}">
              <a16:creationId xmlns:a16="http://schemas.microsoft.com/office/drawing/2014/main" id="{4CA81DDF-006D-4268-91E2-668E05335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464346</xdr:colOff>
      <xdr:row>70</xdr:row>
      <xdr:rowOff>64471</xdr:rowOff>
    </xdr:from>
    <xdr:to>
      <xdr:col>28</xdr:col>
      <xdr:colOff>31390</xdr:colOff>
      <xdr:row>95</xdr:row>
      <xdr:rowOff>30843</xdr:rowOff>
    </xdr:to>
    <xdr:graphicFrame macro="">
      <xdr:nvGraphicFramePr>
        <xdr:cNvPr id="3" name="Chart 2">
          <a:extLst>
            <a:ext uri="{FF2B5EF4-FFF2-40B4-BE49-F238E27FC236}">
              <a16:creationId xmlns:a16="http://schemas.microsoft.com/office/drawing/2014/main" id="{8C22D81D-DD7A-4290-AF54-D8E64FD7B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314955</xdr:colOff>
      <xdr:row>116</xdr:row>
      <xdr:rowOff>170903</xdr:rowOff>
    </xdr:from>
    <xdr:to>
      <xdr:col>28</xdr:col>
      <xdr:colOff>238125</xdr:colOff>
      <xdr:row>142</xdr:row>
      <xdr:rowOff>158751</xdr:rowOff>
    </xdr:to>
    <xdr:graphicFrame macro="">
      <xdr:nvGraphicFramePr>
        <xdr:cNvPr id="4" name="Chart 3">
          <a:extLst>
            <a:ext uri="{FF2B5EF4-FFF2-40B4-BE49-F238E27FC236}">
              <a16:creationId xmlns:a16="http://schemas.microsoft.com/office/drawing/2014/main" id="{A45B0B96-26BE-43B2-AF27-BA1562E5F6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1007607</xdr:colOff>
      <xdr:row>1</xdr:row>
      <xdr:rowOff>9966</xdr:rowOff>
    </xdr:from>
    <xdr:to>
      <xdr:col>16</xdr:col>
      <xdr:colOff>556846</xdr:colOff>
      <xdr:row>19</xdr:row>
      <xdr:rowOff>146538</xdr:rowOff>
    </xdr:to>
    <xdr:graphicFrame macro="">
      <xdr:nvGraphicFramePr>
        <xdr:cNvPr id="5" name="Chart 4">
          <a:extLst>
            <a:ext uri="{FF2B5EF4-FFF2-40B4-BE49-F238E27FC236}">
              <a16:creationId xmlns:a16="http://schemas.microsoft.com/office/drawing/2014/main" id="{CD2B775C-F97A-4887-A4E4-7CC3DA0B2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207066</xdr:colOff>
      <xdr:row>1</xdr:row>
      <xdr:rowOff>73268</xdr:rowOff>
    </xdr:from>
    <xdr:to>
      <xdr:col>44</xdr:col>
      <xdr:colOff>592666</xdr:colOff>
      <xdr:row>22</xdr:row>
      <xdr:rowOff>51767</xdr:rowOff>
    </xdr:to>
    <xdr:graphicFrame macro="">
      <xdr:nvGraphicFramePr>
        <xdr:cNvPr id="6" name="Chart 5">
          <a:extLst>
            <a:ext uri="{FF2B5EF4-FFF2-40B4-BE49-F238E27FC236}">
              <a16:creationId xmlns:a16="http://schemas.microsoft.com/office/drawing/2014/main" id="{7808FEF1-2369-4B6D-A2D2-D9C0E454F2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484429</xdr:colOff>
      <xdr:row>1</xdr:row>
      <xdr:rowOff>4140</xdr:rowOff>
    </xdr:from>
    <xdr:to>
      <xdr:col>31</xdr:col>
      <xdr:colOff>227771</xdr:colOff>
      <xdr:row>21</xdr:row>
      <xdr:rowOff>103532</xdr:rowOff>
    </xdr:to>
    <xdr:graphicFrame macro="">
      <xdr:nvGraphicFramePr>
        <xdr:cNvPr id="7" name="Chart 6">
          <a:extLst>
            <a:ext uri="{FF2B5EF4-FFF2-40B4-BE49-F238E27FC236}">
              <a16:creationId xmlns:a16="http://schemas.microsoft.com/office/drawing/2014/main" id="{1D3C2BE9-52ED-4AC8-BA54-A55983602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66675</xdr:colOff>
      <xdr:row>1</xdr:row>
      <xdr:rowOff>76200</xdr:rowOff>
    </xdr:from>
    <xdr:to>
      <xdr:col>16</xdr:col>
      <xdr:colOff>523875</xdr:colOff>
      <xdr:row>2</xdr:row>
      <xdr:rowOff>171450</xdr:rowOff>
    </xdr:to>
    <xdr:sp macro="[0]!ExitButton" textlink="">
      <xdr:nvSpPr>
        <xdr:cNvPr id="3" name="Rectangle 2">
          <a:extLst>
            <a:ext uri="{FF2B5EF4-FFF2-40B4-BE49-F238E27FC236}">
              <a16:creationId xmlns:a16="http://schemas.microsoft.com/office/drawing/2014/main" id="{8111A362-11FC-4F11-B2CF-9A8B579708C0}"/>
            </a:ext>
          </a:extLst>
        </xdr:cNvPr>
        <xdr:cNvSpPr/>
      </xdr:nvSpPr>
      <xdr:spPr>
        <a:xfrm>
          <a:off x="8601075" y="342900"/>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4" name="Rectangle 3">
          <a:extLst>
            <a:ext uri="{FF2B5EF4-FFF2-40B4-BE49-F238E27FC236}">
              <a16:creationId xmlns:a16="http://schemas.microsoft.com/office/drawing/2014/main" id="{D9F67521-9E24-4004-9F07-2A76A9D6EC54}"/>
            </a:ext>
          </a:extLst>
        </xdr:cNvPr>
        <xdr:cNvSpPr/>
      </xdr:nvSpPr>
      <xdr:spPr>
        <a:xfrm>
          <a:off x="6772275" y="33337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13</xdr:col>
      <xdr:colOff>195542</xdr:colOff>
      <xdr:row>5</xdr:row>
      <xdr:rowOff>19197</xdr:rowOff>
    </xdr:from>
    <xdr:to>
      <xdr:col>27</xdr:col>
      <xdr:colOff>155058</xdr:colOff>
      <xdr:row>27</xdr:row>
      <xdr:rowOff>152345</xdr:rowOff>
    </xdr:to>
    <xdr:graphicFrame macro="">
      <xdr:nvGraphicFramePr>
        <xdr:cNvPr id="5" name="Chart 4">
          <a:extLst>
            <a:ext uri="{FF2B5EF4-FFF2-40B4-BE49-F238E27FC236}">
              <a16:creationId xmlns:a16="http://schemas.microsoft.com/office/drawing/2014/main" id="{BBEB2310-7622-4569-8634-6732D9ABB7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488679</xdr:colOff>
      <xdr:row>34</xdr:row>
      <xdr:rowOff>48690</xdr:rowOff>
    </xdr:from>
    <xdr:to>
      <xdr:col>9</xdr:col>
      <xdr:colOff>152608</xdr:colOff>
      <xdr:row>63</xdr:row>
      <xdr:rowOff>107581</xdr:rowOff>
    </xdr:to>
    <xdr:graphicFrame macro="">
      <xdr:nvGraphicFramePr>
        <xdr:cNvPr id="8" name="Chart 7">
          <a:extLst>
            <a:ext uri="{FF2B5EF4-FFF2-40B4-BE49-F238E27FC236}">
              <a16:creationId xmlns:a16="http://schemas.microsoft.com/office/drawing/2014/main" id="{5DA238CE-1E93-4AFF-878D-B10E322F3E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28498</xdr:colOff>
      <xdr:row>33</xdr:row>
      <xdr:rowOff>101738</xdr:rowOff>
    </xdr:from>
    <xdr:to>
      <xdr:col>27</xdr:col>
      <xdr:colOff>155058</xdr:colOff>
      <xdr:row>63</xdr:row>
      <xdr:rowOff>104406</xdr:rowOff>
    </xdr:to>
    <xdr:graphicFrame macro="">
      <xdr:nvGraphicFramePr>
        <xdr:cNvPr id="7" name="Chart 6">
          <a:extLst>
            <a:ext uri="{FF2B5EF4-FFF2-40B4-BE49-F238E27FC236}">
              <a16:creationId xmlns:a16="http://schemas.microsoft.com/office/drawing/2014/main" id="{CB4FB7CF-7119-44F3-90F1-3B96419EF3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1336675</xdr:colOff>
      <xdr:row>6</xdr:row>
      <xdr:rowOff>3175</xdr:rowOff>
    </xdr:from>
    <xdr:to>
      <xdr:col>16</xdr:col>
      <xdr:colOff>1482725</xdr:colOff>
      <xdr:row>21</xdr:row>
      <xdr:rowOff>123825</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3DAB9C66-5789-412A-8854-E385DBF9E7D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433800" y="1231900"/>
              <a:ext cx="1831975" cy="297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9812</xdr:colOff>
      <xdr:row>27</xdr:row>
      <xdr:rowOff>50223</xdr:rowOff>
    </xdr:from>
    <xdr:ext cx="4743450" cy="2533650"/>
    <xdr:graphicFrame macro="">
      <xdr:nvGraphicFramePr>
        <xdr:cNvPr id="10" name="Chart 9">
          <a:extLst>
            <a:ext uri="{FF2B5EF4-FFF2-40B4-BE49-F238E27FC236}">
              <a16:creationId xmlns:a16="http://schemas.microsoft.com/office/drawing/2014/main" id="{8DED8C05-3C7B-4C38-855D-6A5A9A363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40</xdr:row>
      <xdr:rowOff>133351</xdr:rowOff>
    </xdr:from>
    <xdr:ext cx="4860635" cy="2643909"/>
    <xdr:graphicFrame macro="">
      <xdr:nvGraphicFramePr>
        <xdr:cNvPr id="11" name="Chart 10">
          <a:extLst>
            <a:ext uri="{FF2B5EF4-FFF2-40B4-BE49-F238E27FC236}">
              <a16:creationId xmlns:a16="http://schemas.microsoft.com/office/drawing/2014/main" id="{0F18F763-7E33-4F18-8EA8-F87BFA5855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6</xdr:col>
      <xdr:colOff>237837</xdr:colOff>
      <xdr:row>27</xdr:row>
      <xdr:rowOff>54840</xdr:rowOff>
    </xdr:from>
    <xdr:ext cx="5162838" cy="2535960"/>
    <xdr:graphicFrame macro="">
      <xdr:nvGraphicFramePr>
        <xdr:cNvPr id="12" name="Chart 11">
          <a:extLst>
            <a:ext uri="{FF2B5EF4-FFF2-40B4-BE49-F238E27FC236}">
              <a16:creationId xmlns:a16="http://schemas.microsoft.com/office/drawing/2014/main" id="{79F8EDB9-71B8-4187-80C0-B467D4C0F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6</xdr:col>
      <xdr:colOff>233795</xdr:colOff>
      <xdr:row>41</xdr:row>
      <xdr:rowOff>290</xdr:rowOff>
    </xdr:from>
    <xdr:ext cx="5230091" cy="2678544"/>
    <xdr:graphicFrame macro="">
      <xdr:nvGraphicFramePr>
        <xdr:cNvPr id="13" name="Chart 12">
          <a:extLst>
            <a:ext uri="{FF2B5EF4-FFF2-40B4-BE49-F238E27FC236}">
              <a16:creationId xmlns:a16="http://schemas.microsoft.com/office/drawing/2014/main" id="{0C94F93E-67F2-4922-A215-E6ED31BC9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twoCellAnchor>
    <xdr:from>
      <xdr:col>15</xdr:col>
      <xdr:colOff>1390650</xdr:colOff>
      <xdr:row>1</xdr:row>
      <xdr:rowOff>47625</xdr:rowOff>
    </xdr:from>
    <xdr:to>
      <xdr:col>16</xdr:col>
      <xdr:colOff>1685925</xdr:colOff>
      <xdr:row>2</xdr:row>
      <xdr:rowOff>142875</xdr:rowOff>
    </xdr:to>
    <xdr:sp macro="[0]!ExitButton" textlink="">
      <xdr:nvSpPr>
        <xdr:cNvPr id="14" name="Rectangle 13">
          <a:extLst>
            <a:ext uri="{FF2B5EF4-FFF2-40B4-BE49-F238E27FC236}">
              <a16:creationId xmlns:a16="http://schemas.microsoft.com/office/drawing/2014/main" id="{429BD5CD-4AF9-4985-8935-1461B15BBBA8}"/>
            </a:ext>
          </a:extLst>
        </xdr:cNvPr>
        <xdr:cNvSpPr/>
      </xdr:nvSpPr>
      <xdr:spPr>
        <a:xfrm>
          <a:off x="16773525" y="314325"/>
          <a:ext cx="1981200" cy="2857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14</xdr:col>
      <xdr:colOff>1314450</xdr:colOff>
      <xdr:row>1</xdr:row>
      <xdr:rowOff>47625</xdr:rowOff>
    </xdr:from>
    <xdr:to>
      <xdr:col>15</xdr:col>
      <xdr:colOff>1219200</xdr:colOff>
      <xdr:row>2</xdr:row>
      <xdr:rowOff>142875</xdr:rowOff>
    </xdr:to>
    <xdr:sp macro="[0]!ShowNavigation" textlink="">
      <xdr:nvSpPr>
        <xdr:cNvPr id="15" name="Rectangle 14">
          <a:extLst>
            <a:ext uri="{FF2B5EF4-FFF2-40B4-BE49-F238E27FC236}">
              <a16:creationId xmlns:a16="http://schemas.microsoft.com/office/drawing/2014/main" id="{2CF9F3AE-EAFE-40E9-AFC2-32969DEF17A7}"/>
            </a:ext>
          </a:extLst>
        </xdr:cNvPr>
        <xdr:cNvSpPr/>
      </xdr:nvSpPr>
      <xdr:spPr>
        <a:xfrm>
          <a:off x="14801850" y="314325"/>
          <a:ext cx="1800225" cy="2857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13</xdr:col>
      <xdr:colOff>85725</xdr:colOff>
      <xdr:row>6</xdr:row>
      <xdr:rowOff>23812</xdr:rowOff>
    </xdr:from>
    <xdr:to>
      <xdr:col>15</xdr:col>
      <xdr:colOff>1266825</xdr:colOff>
      <xdr:row>21</xdr:row>
      <xdr:rowOff>19050</xdr:rowOff>
    </xdr:to>
    <xdr:graphicFrame macro="">
      <xdr:nvGraphicFramePr>
        <xdr:cNvPr id="2" name="Chart 1">
          <a:extLst>
            <a:ext uri="{FF2B5EF4-FFF2-40B4-BE49-F238E27FC236}">
              <a16:creationId xmlns:a16="http://schemas.microsoft.com/office/drawing/2014/main" id="{26EFC928-59A3-42F9-9B6F-488C4FC45A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66675</xdr:colOff>
      <xdr:row>1</xdr:row>
      <xdr:rowOff>76200</xdr:rowOff>
    </xdr:from>
    <xdr:to>
      <xdr:col>16</xdr:col>
      <xdr:colOff>523875</xdr:colOff>
      <xdr:row>2</xdr:row>
      <xdr:rowOff>171450</xdr:rowOff>
    </xdr:to>
    <xdr:sp macro="[0]!ExitButton" textlink="">
      <xdr:nvSpPr>
        <xdr:cNvPr id="2" name="Rectangle 1">
          <a:extLst>
            <a:ext uri="{FF2B5EF4-FFF2-40B4-BE49-F238E27FC236}">
              <a16:creationId xmlns:a16="http://schemas.microsoft.com/office/drawing/2014/main" id="{02719C2C-668C-4A27-BC4D-57132F18F23E}"/>
            </a:ext>
          </a:extLst>
        </xdr:cNvPr>
        <xdr:cNvSpPr/>
      </xdr:nvSpPr>
      <xdr:spPr>
        <a:xfrm>
          <a:off x="10287000" y="342900"/>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3" name="Rectangle 2">
          <a:extLst>
            <a:ext uri="{FF2B5EF4-FFF2-40B4-BE49-F238E27FC236}">
              <a16:creationId xmlns:a16="http://schemas.microsoft.com/office/drawing/2014/main" id="{38CBDF46-2E2F-4875-95B5-C0A179A33458}"/>
            </a:ext>
          </a:extLst>
        </xdr:cNvPr>
        <xdr:cNvSpPr/>
      </xdr:nvSpPr>
      <xdr:spPr>
        <a:xfrm>
          <a:off x="8458200" y="33337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1</xdr:col>
      <xdr:colOff>142875</xdr:colOff>
      <xdr:row>6</xdr:row>
      <xdr:rowOff>57150</xdr:rowOff>
    </xdr:from>
    <xdr:to>
      <xdr:col>17</xdr:col>
      <xdr:colOff>0</xdr:colOff>
      <xdr:row>43</xdr:row>
      <xdr:rowOff>47625</xdr:rowOff>
    </xdr:to>
    <xdr:graphicFrame macro="">
      <xdr:nvGraphicFramePr>
        <xdr:cNvPr id="7" name="Chart 6">
          <a:extLst>
            <a:ext uri="{FF2B5EF4-FFF2-40B4-BE49-F238E27FC236}">
              <a16:creationId xmlns:a16="http://schemas.microsoft.com/office/drawing/2014/main" id="{3779852F-0568-43A5-B638-601830C3B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66675</xdr:colOff>
      <xdr:row>1</xdr:row>
      <xdr:rowOff>76200</xdr:rowOff>
    </xdr:from>
    <xdr:to>
      <xdr:col>16</xdr:col>
      <xdr:colOff>523875</xdr:colOff>
      <xdr:row>2</xdr:row>
      <xdr:rowOff>171450</xdr:rowOff>
    </xdr:to>
    <xdr:sp macro="[0]!ExitButton" textlink="">
      <xdr:nvSpPr>
        <xdr:cNvPr id="2" name="Rectangle 1">
          <a:extLst>
            <a:ext uri="{FF2B5EF4-FFF2-40B4-BE49-F238E27FC236}">
              <a16:creationId xmlns:a16="http://schemas.microsoft.com/office/drawing/2014/main" id="{2610ADA1-697F-4A92-AC9A-C9A15D2666E2}"/>
            </a:ext>
          </a:extLst>
        </xdr:cNvPr>
        <xdr:cNvSpPr/>
      </xdr:nvSpPr>
      <xdr:spPr>
        <a:xfrm>
          <a:off x="10287000" y="342900"/>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3" name="Rectangle 2">
          <a:extLst>
            <a:ext uri="{FF2B5EF4-FFF2-40B4-BE49-F238E27FC236}">
              <a16:creationId xmlns:a16="http://schemas.microsoft.com/office/drawing/2014/main" id="{AA145D5E-139D-49DB-9EDE-F68698EECD4D}"/>
            </a:ext>
          </a:extLst>
        </xdr:cNvPr>
        <xdr:cNvSpPr/>
      </xdr:nvSpPr>
      <xdr:spPr>
        <a:xfrm>
          <a:off x="8458200" y="33337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1</xdr:col>
      <xdr:colOff>0</xdr:colOff>
      <xdr:row>5</xdr:row>
      <xdr:rowOff>0</xdr:rowOff>
    </xdr:from>
    <xdr:to>
      <xdr:col>16</xdr:col>
      <xdr:colOff>571500</xdr:colOff>
      <xdr:row>43</xdr:row>
      <xdr:rowOff>133350</xdr:rowOff>
    </xdr:to>
    <xdr:graphicFrame macro="">
      <xdr:nvGraphicFramePr>
        <xdr:cNvPr id="4" name="Chart 3">
          <a:extLst>
            <a:ext uri="{FF2B5EF4-FFF2-40B4-BE49-F238E27FC236}">
              <a16:creationId xmlns:a16="http://schemas.microsoft.com/office/drawing/2014/main" id="{9E4C8615-A7E7-4199-A2AB-FA42884770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66675</xdr:colOff>
      <xdr:row>1</xdr:row>
      <xdr:rowOff>76200</xdr:rowOff>
    </xdr:from>
    <xdr:to>
      <xdr:col>16</xdr:col>
      <xdr:colOff>523875</xdr:colOff>
      <xdr:row>2</xdr:row>
      <xdr:rowOff>171450</xdr:rowOff>
    </xdr:to>
    <xdr:sp macro="[0]!ExitButton" textlink="">
      <xdr:nvSpPr>
        <xdr:cNvPr id="5" name="Rectangle 4">
          <a:extLst>
            <a:ext uri="{FF2B5EF4-FFF2-40B4-BE49-F238E27FC236}">
              <a16:creationId xmlns:a16="http://schemas.microsoft.com/office/drawing/2014/main" id="{3963261C-00C6-47C4-9729-8A9818C0CB5F}"/>
            </a:ext>
          </a:extLst>
        </xdr:cNvPr>
        <xdr:cNvSpPr/>
      </xdr:nvSpPr>
      <xdr:spPr>
        <a:xfrm>
          <a:off x="10798175" y="342900"/>
          <a:ext cx="17399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6" name="Rectangle 5">
          <a:extLst>
            <a:ext uri="{FF2B5EF4-FFF2-40B4-BE49-F238E27FC236}">
              <a16:creationId xmlns:a16="http://schemas.microsoft.com/office/drawing/2014/main" id="{67C211CA-21C4-4BF2-87E5-E386F313D1CF}"/>
            </a:ext>
          </a:extLst>
        </xdr:cNvPr>
        <xdr:cNvSpPr/>
      </xdr:nvSpPr>
      <xdr:spPr>
        <a:xfrm>
          <a:off x="8874125" y="333375"/>
          <a:ext cx="17399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66675</xdr:colOff>
      <xdr:row>1</xdr:row>
      <xdr:rowOff>76200</xdr:rowOff>
    </xdr:from>
    <xdr:to>
      <xdr:col>16</xdr:col>
      <xdr:colOff>523875</xdr:colOff>
      <xdr:row>2</xdr:row>
      <xdr:rowOff>171450</xdr:rowOff>
    </xdr:to>
    <xdr:sp macro="[0]!ExitButton" textlink="">
      <xdr:nvSpPr>
        <xdr:cNvPr id="2" name="Rectangle 1">
          <a:extLst>
            <a:ext uri="{FF2B5EF4-FFF2-40B4-BE49-F238E27FC236}">
              <a16:creationId xmlns:a16="http://schemas.microsoft.com/office/drawing/2014/main" id="{72EB1B1B-ED1A-4860-BD37-05ABFFB7C348}"/>
            </a:ext>
          </a:extLst>
        </xdr:cNvPr>
        <xdr:cNvSpPr/>
      </xdr:nvSpPr>
      <xdr:spPr>
        <a:xfrm>
          <a:off x="10287000" y="342900"/>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3" name="Rectangle 2">
          <a:extLst>
            <a:ext uri="{FF2B5EF4-FFF2-40B4-BE49-F238E27FC236}">
              <a16:creationId xmlns:a16="http://schemas.microsoft.com/office/drawing/2014/main" id="{CC6F7A73-3260-4E90-ADE4-A434F72F56F5}"/>
            </a:ext>
          </a:extLst>
        </xdr:cNvPr>
        <xdr:cNvSpPr/>
      </xdr:nvSpPr>
      <xdr:spPr>
        <a:xfrm>
          <a:off x="8458200" y="333375"/>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2</xdr:col>
      <xdr:colOff>0</xdr:colOff>
      <xdr:row>5</xdr:row>
      <xdr:rowOff>0</xdr:rowOff>
    </xdr:from>
    <xdr:to>
      <xdr:col>16</xdr:col>
      <xdr:colOff>600075</xdr:colOff>
      <xdr:row>40</xdr:row>
      <xdr:rowOff>142875</xdr:rowOff>
    </xdr:to>
    <xdr:graphicFrame macro="">
      <xdr:nvGraphicFramePr>
        <xdr:cNvPr id="4" name="Chart 3">
          <a:extLst>
            <a:ext uri="{FF2B5EF4-FFF2-40B4-BE49-F238E27FC236}">
              <a16:creationId xmlns:a16="http://schemas.microsoft.com/office/drawing/2014/main" id="{A431FDFD-F35D-4DB5-A703-ECB1983A8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15</xdr:col>
      <xdr:colOff>409575</xdr:colOff>
      <xdr:row>1</xdr:row>
      <xdr:rowOff>71437</xdr:rowOff>
    </xdr:from>
    <xdr:to>
      <xdr:col>18</xdr:col>
      <xdr:colOff>409575</xdr:colOff>
      <xdr:row>2</xdr:row>
      <xdr:rowOff>166687</xdr:rowOff>
    </xdr:to>
    <xdr:sp macro="[0]!ExitButton" textlink="">
      <xdr:nvSpPr>
        <xdr:cNvPr id="2" name="Rectangle 1">
          <a:extLst>
            <a:ext uri="{FF2B5EF4-FFF2-40B4-BE49-F238E27FC236}">
              <a16:creationId xmlns:a16="http://schemas.microsoft.com/office/drawing/2014/main" id="{F2CAE649-B678-4085-98BD-C675C9C42DB8}"/>
            </a:ext>
          </a:extLst>
        </xdr:cNvPr>
        <xdr:cNvSpPr/>
      </xdr:nvSpPr>
      <xdr:spPr>
        <a:xfrm>
          <a:off x="10353675" y="338137"/>
          <a:ext cx="154305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9</xdr:col>
      <xdr:colOff>220486</xdr:colOff>
      <xdr:row>1</xdr:row>
      <xdr:rowOff>71437</xdr:rowOff>
    </xdr:from>
    <xdr:to>
      <xdr:col>12</xdr:col>
      <xdr:colOff>352425</xdr:colOff>
      <xdr:row>2</xdr:row>
      <xdr:rowOff>166687</xdr:rowOff>
    </xdr:to>
    <xdr:sp macro="[0]!Investment" textlink="">
      <xdr:nvSpPr>
        <xdr:cNvPr id="3" name="Rectangle 2">
          <a:extLst>
            <a:ext uri="{FF2B5EF4-FFF2-40B4-BE49-F238E27FC236}">
              <a16:creationId xmlns:a16="http://schemas.microsoft.com/office/drawing/2014/main" id="{0B8E9345-CB36-4AA6-91B5-BE5AB254AAD7}"/>
            </a:ext>
          </a:extLst>
        </xdr:cNvPr>
        <xdr:cNvSpPr/>
      </xdr:nvSpPr>
      <xdr:spPr>
        <a:xfrm>
          <a:off x="10953750" y="336020"/>
          <a:ext cx="2063397" cy="35983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Forecast Investment</a:t>
          </a:r>
        </a:p>
      </xdr:txBody>
    </xdr:sp>
    <xdr:clientData/>
  </xdr:twoCellAnchor>
  <xdr:twoCellAnchor>
    <xdr:from>
      <xdr:col>12</xdr:col>
      <xdr:colOff>536046</xdr:colOff>
      <xdr:row>1</xdr:row>
      <xdr:rowOff>62618</xdr:rowOff>
    </xdr:from>
    <xdr:to>
      <xdr:col>15</xdr:col>
      <xdr:colOff>197026</xdr:colOff>
      <xdr:row>2</xdr:row>
      <xdr:rowOff>157868</xdr:rowOff>
    </xdr:to>
    <xdr:sp macro="[0]!ShowNavigation" textlink="">
      <xdr:nvSpPr>
        <xdr:cNvPr id="4" name="Rectangle 3">
          <a:extLst>
            <a:ext uri="{FF2B5EF4-FFF2-40B4-BE49-F238E27FC236}">
              <a16:creationId xmlns:a16="http://schemas.microsoft.com/office/drawing/2014/main" id="{5111E85D-059C-4872-8662-25F16975C592}"/>
            </a:ext>
          </a:extLst>
        </xdr:cNvPr>
        <xdr:cNvSpPr/>
      </xdr:nvSpPr>
      <xdr:spPr>
        <a:xfrm>
          <a:off x="13200768" y="327201"/>
          <a:ext cx="1592439" cy="359834"/>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5</xdr:col>
      <xdr:colOff>952500</xdr:colOff>
      <xdr:row>24</xdr:row>
      <xdr:rowOff>47622</xdr:rowOff>
    </xdr:from>
    <xdr:to>
      <xdr:col>7</xdr:col>
      <xdr:colOff>876300</xdr:colOff>
      <xdr:row>38</xdr:row>
      <xdr:rowOff>28571</xdr:rowOff>
    </xdr:to>
    <xdr:sp macro="" textlink="">
      <xdr:nvSpPr>
        <xdr:cNvPr id="5" name="Arrow: Bent 4">
          <a:extLst>
            <a:ext uri="{FF2B5EF4-FFF2-40B4-BE49-F238E27FC236}">
              <a16:creationId xmlns:a16="http://schemas.microsoft.com/office/drawing/2014/main" id="{6C7960A0-4E13-4C72-BEF7-8C7FE5F1ADD6}"/>
            </a:ext>
          </a:extLst>
        </xdr:cNvPr>
        <xdr:cNvSpPr/>
      </xdr:nvSpPr>
      <xdr:spPr>
        <a:xfrm rot="10800000">
          <a:off x="7305675" y="4876797"/>
          <a:ext cx="2133600" cy="2686049"/>
        </a:xfrm>
        <a:prstGeom prst="bent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66675</xdr:colOff>
      <xdr:row>1</xdr:row>
      <xdr:rowOff>76200</xdr:rowOff>
    </xdr:from>
    <xdr:to>
      <xdr:col>16</xdr:col>
      <xdr:colOff>523875</xdr:colOff>
      <xdr:row>2</xdr:row>
      <xdr:rowOff>171450</xdr:rowOff>
    </xdr:to>
    <xdr:sp macro="[0]!ExitButton" textlink="">
      <xdr:nvSpPr>
        <xdr:cNvPr id="6" name="Rectangle 5">
          <a:extLst>
            <a:ext uri="{FF2B5EF4-FFF2-40B4-BE49-F238E27FC236}">
              <a16:creationId xmlns:a16="http://schemas.microsoft.com/office/drawing/2014/main" id="{5E9BED01-CA99-490D-B99B-2D07D3867988}"/>
            </a:ext>
          </a:extLst>
        </xdr:cNvPr>
        <xdr:cNvSpPr/>
      </xdr:nvSpPr>
      <xdr:spPr>
        <a:xfrm>
          <a:off x="13173075" y="342900"/>
          <a:ext cx="17399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7" name="Rectangle 6">
          <a:extLst>
            <a:ext uri="{FF2B5EF4-FFF2-40B4-BE49-F238E27FC236}">
              <a16:creationId xmlns:a16="http://schemas.microsoft.com/office/drawing/2014/main" id="{F74D55F5-4E8B-43E7-8FEB-BAB40F86C2C2}"/>
            </a:ext>
          </a:extLst>
        </xdr:cNvPr>
        <xdr:cNvSpPr/>
      </xdr:nvSpPr>
      <xdr:spPr>
        <a:xfrm>
          <a:off x="11249025" y="333375"/>
          <a:ext cx="17399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14</xdr:col>
      <xdr:colOff>66675</xdr:colOff>
      <xdr:row>1</xdr:row>
      <xdr:rowOff>76200</xdr:rowOff>
    </xdr:from>
    <xdr:to>
      <xdr:col>16</xdr:col>
      <xdr:colOff>523875</xdr:colOff>
      <xdr:row>2</xdr:row>
      <xdr:rowOff>171450</xdr:rowOff>
    </xdr:to>
    <xdr:sp macro="[0]!ExitButton" textlink="">
      <xdr:nvSpPr>
        <xdr:cNvPr id="5" name="Rectangle 4">
          <a:extLst>
            <a:ext uri="{FF2B5EF4-FFF2-40B4-BE49-F238E27FC236}">
              <a16:creationId xmlns:a16="http://schemas.microsoft.com/office/drawing/2014/main" id="{933B0085-4314-4042-A5BE-3215EC52789D}"/>
            </a:ext>
          </a:extLst>
        </xdr:cNvPr>
        <xdr:cNvSpPr/>
      </xdr:nvSpPr>
      <xdr:spPr>
        <a:xfrm>
          <a:off x="8201025" y="342900"/>
          <a:ext cx="1619250" cy="2857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11</xdr:col>
      <xdr:colOff>66675</xdr:colOff>
      <xdr:row>1</xdr:row>
      <xdr:rowOff>66675</xdr:rowOff>
    </xdr:from>
    <xdr:to>
      <xdr:col>13</xdr:col>
      <xdr:colOff>523875</xdr:colOff>
      <xdr:row>2</xdr:row>
      <xdr:rowOff>161925</xdr:rowOff>
    </xdr:to>
    <xdr:sp macro="[0]!ShowNavigation" textlink="">
      <xdr:nvSpPr>
        <xdr:cNvPr id="8" name="Rectangle 7">
          <a:extLst>
            <a:ext uri="{FF2B5EF4-FFF2-40B4-BE49-F238E27FC236}">
              <a16:creationId xmlns:a16="http://schemas.microsoft.com/office/drawing/2014/main" id="{7FE59EA9-D6C2-4425-96AC-6370DC842237}"/>
            </a:ext>
          </a:extLst>
        </xdr:cNvPr>
        <xdr:cNvSpPr/>
      </xdr:nvSpPr>
      <xdr:spPr>
        <a:xfrm>
          <a:off x="6457950" y="333375"/>
          <a:ext cx="1619250" cy="2857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twoCellAnchor>
    <xdr:from>
      <xdr:col>8</xdr:col>
      <xdr:colOff>66675</xdr:colOff>
      <xdr:row>1</xdr:row>
      <xdr:rowOff>66675</xdr:rowOff>
    </xdr:from>
    <xdr:to>
      <xdr:col>10</xdr:col>
      <xdr:colOff>523875</xdr:colOff>
      <xdr:row>2</xdr:row>
      <xdr:rowOff>161925</xdr:rowOff>
    </xdr:to>
    <xdr:sp macro="[0]!TextReportButton" textlink="">
      <xdr:nvSpPr>
        <xdr:cNvPr id="9" name="Rectangle 8">
          <a:extLst>
            <a:ext uri="{FF2B5EF4-FFF2-40B4-BE49-F238E27FC236}">
              <a16:creationId xmlns:a16="http://schemas.microsoft.com/office/drawing/2014/main" id="{1A1D61DD-A3E3-41C9-9B62-4C40D6BBA04A}"/>
            </a:ext>
          </a:extLst>
        </xdr:cNvPr>
        <xdr:cNvSpPr/>
      </xdr:nvSpPr>
      <xdr:spPr>
        <a:xfrm>
          <a:off x="4714875" y="333375"/>
          <a:ext cx="1619250" cy="2857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Generate</a:t>
          </a:r>
          <a:r>
            <a:rPr lang="en-US" sz="1600" b="1" baseline="0">
              <a:solidFill>
                <a:sysClr val="windowText" lastClr="000000"/>
              </a:solidFill>
            </a:rPr>
            <a:t> Report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42333</xdr:colOff>
      <xdr:row>2</xdr:row>
      <xdr:rowOff>21167</xdr:rowOff>
    </xdr:from>
    <xdr:to>
      <xdr:col>13</xdr:col>
      <xdr:colOff>279400</xdr:colOff>
      <xdr:row>4</xdr:row>
      <xdr:rowOff>2117</xdr:rowOff>
    </xdr:to>
    <xdr:sp macro="[0]!ExitButton" textlink="">
      <xdr:nvSpPr>
        <xdr:cNvPr id="3" name="Rectangle 2">
          <a:extLst>
            <a:ext uri="{FF2B5EF4-FFF2-40B4-BE49-F238E27FC236}">
              <a16:creationId xmlns:a16="http://schemas.microsoft.com/office/drawing/2014/main" id="{EF373534-601F-40D0-8D2C-E3F307112F3E}"/>
            </a:ext>
          </a:extLst>
        </xdr:cNvPr>
        <xdr:cNvSpPr/>
      </xdr:nvSpPr>
      <xdr:spPr>
        <a:xfrm>
          <a:off x="16615833" y="402167"/>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Exit</a:t>
          </a:r>
        </a:p>
      </xdr:txBody>
    </xdr:sp>
    <xdr:clientData/>
  </xdr:twoCellAnchor>
  <xdr:twoCellAnchor>
    <xdr:from>
      <xdr:col>9</xdr:col>
      <xdr:colOff>317500</xdr:colOff>
      <xdr:row>2</xdr:row>
      <xdr:rowOff>10583</xdr:rowOff>
    </xdr:from>
    <xdr:to>
      <xdr:col>10</xdr:col>
      <xdr:colOff>565150</xdr:colOff>
      <xdr:row>3</xdr:row>
      <xdr:rowOff>182033</xdr:rowOff>
    </xdr:to>
    <xdr:sp macro="[0]!ShowNavigation" textlink="">
      <xdr:nvSpPr>
        <xdr:cNvPr id="5" name="Rectangle 4">
          <a:extLst>
            <a:ext uri="{FF2B5EF4-FFF2-40B4-BE49-F238E27FC236}">
              <a16:creationId xmlns:a16="http://schemas.microsoft.com/office/drawing/2014/main" id="{F7F05BD3-82ED-4E2E-943E-163701953194}"/>
            </a:ext>
          </a:extLst>
        </xdr:cNvPr>
        <xdr:cNvSpPr/>
      </xdr:nvSpPr>
      <xdr:spPr>
        <a:xfrm>
          <a:off x="14234583" y="391583"/>
          <a:ext cx="1676400" cy="36195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600" b="1">
              <a:solidFill>
                <a:sysClr val="windowText" lastClr="000000"/>
              </a:solidFill>
            </a:rPr>
            <a:t>Navigate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irginiatech-my.sharepoint.com/Users/mmhseref/Downloads/Lecture16-FromLiveLectu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ourt/Downloads/PWC-ProjectTemplates%20V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DownloadsInD\PWC-Project%20V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ipping"/>
      <sheetName val="Assignment"/>
      <sheetName val="Routing"/>
    </sheetNames>
    <sheetDataSet>
      <sheetData sheetId="0" refreshError="1">
        <row r="17">
          <cell r="B17">
            <v>0</v>
          </cell>
          <cell r="C17">
            <v>166</v>
          </cell>
          <cell r="E17">
            <v>166</v>
          </cell>
          <cell r="H17">
            <v>5</v>
          </cell>
          <cell r="I17">
            <v>13</v>
          </cell>
        </row>
        <row r="18">
          <cell r="B18">
            <v>116</v>
          </cell>
          <cell r="C18">
            <v>34</v>
          </cell>
          <cell r="E18">
            <v>150</v>
          </cell>
          <cell r="H18">
            <v>11</v>
          </cell>
          <cell r="I18">
            <v>12</v>
          </cell>
        </row>
        <row r="19">
          <cell r="B19">
            <v>141</v>
          </cell>
          <cell r="C19">
            <v>0</v>
          </cell>
          <cell r="E19">
            <v>141</v>
          </cell>
          <cell r="H19">
            <v>10</v>
          </cell>
          <cell r="I19">
            <v>12</v>
          </cell>
        </row>
        <row r="20">
          <cell r="B20">
            <v>143</v>
          </cell>
          <cell r="C20">
            <v>0</v>
          </cell>
          <cell r="E20">
            <v>154</v>
          </cell>
          <cell r="H20">
            <v>7</v>
          </cell>
          <cell r="I20">
            <v>7</v>
          </cell>
        </row>
        <row r="21">
          <cell r="B21">
            <v>0</v>
          </cell>
          <cell r="C21">
            <v>0</v>
          </cell>
          <cell r="E21">
            <v>128</v>
          </cell>
          <cell r="H21">
            <v>8</v>
          </cell>
          <cell r="I21">
            <v>8</v>
          </cell>
        </row>
        <row r="22">
          <cell r="B22">
            <v>0</v>
          </cell>
          <cell r="C22">
            <v>0</v>
          </cell>
          <cell r="E22">
            <v>172</v>
          </cell>
          <cell r="H22">
            <v>12</v>
          </cell>
          <cell r="I22">
            <v>14</v>
          </cell>
        </row>
        <row r="25">
          <cell r="B25">
            <v>400</v>
          </cell>
          <cell r="C25">
            <v>600</v>
          </cell>
        </row>
      </sheetData>
      <sheetData sheetId="1" refreshError="1">
        <row r="5">
          <cell r="B5">
            <v>0</v>
          </cell>
          <cell r="C5">
            <v>1</v>
          </cell>
          <cell r="D5">
            <v>0</v>
          </cell>
          <cell r="F5">
            <v>383</v>
          </cell>
        </row>
        <row r="6">
          <cell r="B6">
            <v>0</v>
          </cell>
          <cell r="C6">
            <v>0</v>
          </cell>
          <cell r="D6">
            <v>1</v>
          </cell>
          <cell r="F6">
            <v>349</v>
          </cell>
        </row>
        <row r="7">
          <cell r="B7">
            <v>0</v>
          </cell>
          <cell r="C7">
            <v>0</v>
          </cell>
          <cell r="D7">
            <v>1</v>
          </cell>
          <cell r="F7">
            <v>233</v>
          </cell>
        </row>
        <row r="8">
          <cell r="B8">
            <v>1</v>
          </cell>
          <cell r="C8">
            <v>0</v>
          </cell>
          <cell r="D8">
            <v>0</v>
          </cell>
          <cell r="F8">
            <v>165</v>
          </cell>
        </row>
        <row r="9">
          <cell r="B9">
            <v>1</v>
          </cell>
          <cell r="C9">
            <v>0</v>
          </cell>
          <cell r="D9">
            <v>0</v>
          </cell>
          <cell r="F9">
            <v>153</v>
          </cell>
        </row>
        <row r="10">
          <cell r="B10">
            <v>1</v>
          </cell>
          <cell r="C10">
            <v>0</v>
          </cell>
          <cell r="D10">
            <v>0</v>
          </cell>
          <cell r="F10">
            <v>262</v>
          </cell>
        </row>
        <row r="13">
          <cell r="B13">
            <v>600</v>
          </cell>
          <cell r="C13">
            <v>500</v>
          </cell>
          <cell r="D13">
            <v>1000</v>
          </cell>
        </row>
        <row r="14">
          <cell r="B14">
            <v>3</v>
          </cell>
          <cell r="C14">
            <v>1</v>
          </cell>
          <cell r="D14">
            <v>2</v>
          </cell>
        </row>
        <row r="15">
          <cell r="B15">
            <v>10</v>
          </cell>
          <cell r="C15">
            <v>13</v>
          </cell>
          <cell r="D15">
            <v>15</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WC-1"/>
      <sheetName val="PWC-2"/>
      <sheetName val="PWC-3"/>
      <sheetName val="Updated Data"/>
      <sheetName val="Data Pivot Chart"/>
      <sheetName val="Investment Module"/>
      <sheetName val="Sheet1"/>
    </sheetNames>
    <sheetDataSet>
      <sheetData sheetId="0"/>
      <sheetData sheetId="1"/>
      <sheetData sheetId="2"/>
      <sheetData sheetId="3">
        <row r="3">
          <cell r="C3" t="str">
            <v>Project Revenue</v>
          </cell>
          <cell r="D3" t="str">
            <v>Staff Hours</v>
          </cell>
          <cell r="E3" t="str">
            <v>Client Travel</v>
          </cell>
          <cell r="F3" t="str">
            <v>Technology Support</v>
          </cell>
          <cell r="G3" t="str">
            <v>Total Expenses</v>
          </cell>
          <cell r="H3" t="str">
            <v>Gross Profit</v>
          </cell>
        </row>
        <row r="4">
          <cell r="B4">
            <v>2011</v>
          </cell>
          <cell r="C4">
            <v>70843</v>
          </cell>
          <cell r="D4">
            <v>33441</v>
          </cell>
          <cell r="E4">
            <v>7732</v>
          </cell>
          <cell r="F4">
            <v>5275</v>
          </cell>
          <cell r="G4">
            <v>46448</v>
          </cell>
          <cell r="H4">
            <v>24395</v>
          </cell>
        </row>
        <row r="5">
          <cell r="B5">
            <v>2012</v>
          </cell>
          <cell r="C5">
            <v>87858</v>
          </cell>
          <cell r="D5">
            <v>31860</v>
          </cell>
          <cell r="E5">
            <v>8683</v>
          </cell>
          <cell r="F5">
            <v>7369</v>
          </cell>
          <cell r="G5">
            <v>47912</v>
          </cell>
          <cell r="H5">
            <v>39946</v>
          </cell>
        </row>
        <row r="6">
          <cell r="B6">
            <v>2013</v>
          </cell>
          <cell r="C6">
            <v>93759</v>
          </cell>
          <cell r="D6">
            <v>38325</v>
          </cell>
          <cell r="E6">
            <v>8188</v>
          </cell>
          <cell r="F6">
            <v>4246</v>
          </cell>
          <cell r="G6">
            <v>50759</v>
          </cell>
          <cell r="H6">
            <v>43000</v>
          </cell>
        </row>
        <row r="7">
          <cell r="B7">
            <v>2014</v>
          </cell>
          <cell r="C7">
            <v>78612</v>
          </cell>
          <cell r="D7">
            <v>31067</v>
          </cell>
          <cell r="E7">
            <v>8436</v>
          </cell>
          <cell r="F7">
            <v>5779</v>
          </cell>
          <cell r="G7">
            <v>45282</v>
          </cell>
          <cell r="H7">
            <v>33330</v>
          </cell>
        </row>
        <row r="8">
          <cell r="B8">
            <v>2015</v>
          </cell>
          <cell r="C8">
            <v>81687</v>
          </cell>
          <cell r="D8">
            <v>32870</v>
          </cell>
          <cell r="E8">
            <v>7782</v>
          </cell>
          <cell r="F8">
            <v>4424</v>
          </cell>
          <cell r="G8">
            <v>45076</v>
          </cell>
          <cell r="H8">
            <v>36611</v>
          </cell>
        </row>
        <row r="9">
          <cell r="B9">
            <v>2016</v>
          </cell>
          <cell r="C9">
            <v>65578</v>
          </cell>
          <cell r="D9">
            <v>25645</v>
          </cell>
          <cell r="E9">
            <v>6791</v>
          </cell>
          <cell r="F9">
            <v>5373</v>
          </cell>
          <cell r="G9">
            <v>37809</v>
          </cell>
          <cell r="H9">
            <v>27769</v>
          </cell>
        </row>
        <row r="10">
          <cell r="B10">
            <v>2017</v>
          </cell>
          <cell r="C10">
            <v>89744</v>
          </cell>
          <cell r="D10">
            <v>35190</v>
          </cell>
          <cell r="E10">
            <v>7585</v>
          </cell>
          <cell r="F10">
            <v>6327</v>
          </cell>
          <cell r="G10">
            <v>49102</v>
          </cell>
          <cell r="H10">
            <v>40642</v>
          </cell>
        </row>
        <row r="11">
          <cell r="B11">
            <v>2018</v>
          </cell>
          <cell r="C11">
            <v>74268</v>
          </cell>
          <cell r="D11">
            <v>27552</v>
          </cell>
          <cell r="E11">
            <v>9093</v>
          </cell>
          <cell r="F11">
            <v>3877</v>
          </cell>
          <cell r="G11">
            <v>40522</v>
          </cell>
          <cell r="H11">
            <v>33746</v>
          </cell>
        </row>
        <row r="12">
          <cell r="B12">
            <v>2019</v>
          </cell>
          <cell r="C12">
            <v>68740</v>
          </cell>
          <cell r="D12">
            <v>28877</v>
          </cell>
          <cell r="E12">
            <v>5792</v>
          </cell>
          <cell r="F12">
            <v>4749</v>
          </cell>
          <cell r="G12">
            <v>39418</v>
          </cell>
          <cell r="H12">
            <v>29322</v>
          </cell>
        </row>
        <row r="13">
          <cell r="B13">
            <v>2020</v>
          </cell>
          <cell r="C13">
            <v>84425</v>
          </cell>
          <cell r="D13">
            <v>34964</v>
          </cell>
          <cell r="E13">
            <v>7233</v>
          </cell>
          <cell r="F13">
            <v>3263</v>
          </cell>
          <cell r="G13">
            <v>45460</v>
          </cell>
          <cell r="H13">
            <v>38965</v>
          </cell>
        </row>
        <row r="14">
          <cell r="B14">
            <v>2011</v>
          </cell>
          <cell r="C14">
            <v>110343</v>
          </cell>
          <cell r="D14">
            <v>35568</v>
          </cell>
          <cell r="E14">
            <v>3658</v>
          </cell>
          <cell r="F14">
            <v>3404</v>
          </cell>
          <cell r="G14">
            <v>42630</v>
          </cell>
          <cell r="H14">
            <v>67713</v>
          </cell>
        </row>
        <row r="15">
          <cell r="B15">
            <v>2012</v>
          </cell>
          <cell r="C15">
            <v>116000</v>
          </cell>
          <cell r="D15">
            <v>41549</v>
          </cell>
          <cell r="E15">
            <v>5053</v>
          </cell>
          <cell r="F15">
            <v>5344</v>
          </cell>
          <cell r="G15">
            <v>51946</v>
          </cell>
          <cell r="H15">
            <v>64054</v>
          </cell>
        </row>
        <row r="16">
          <cell r="B16">
            <v>2013</v>
          </cell>
          <cell r="C16">
            <v>100000</v>
          </cell>
          <cell r="D16">
            <v>32010</v>
          </cell>
          <cell r="E16">
            <v>3993</v>
          </cell>
          <cell r="F16">
            <v>3671</v>
          </cell>
          <cell r="G16">
            <v>39674</v>
          </cell>
          <cell r="H16">
            <v>60326</v>
          </cell>
        </row>
        <row r="17">
          <cell r="B17">
            <v>2014</v>
          </cell>
          <cell r="C17">
            <v>112000</v>
          </cell>
          <cell r="D17">
            <v>41991</v>
          </cell>
          <cell r="E17">
            <v>4091</v>
          </cell>
          <cell r="F17">
            <v>4366</v>
          </cell>
          <cell r="G17">
            <v>50448</v>
          </cell>
          <cell r="H17">
            <v>61552</v>
          </cell>
        </row>
        <row r="18">
          <cell r="B18">
            <v>2015</v>
          </cell>
          <cell r="C18">
            <v>115000</v>
          </cell>
          <cell r="D18">
            <v>30951</v>
          </cell>
          <cell r="E18">
            <v>9067</v>
          </cell>
          <cell r="F18">
            <v>4873</v>
          </cell>
          <cell r="G18">
            <v>44891</v>
          </cell>
          <cell r="H18">
            <v>70109</v>
          </cell>
        </row>
        <row r="19">
          <cell r="B19">
            <v>2016</v>
          </cell>
          <cell r="C19">
            <v>115038</v>
          </cell>
          <cell r="D19">
            <v>35809</v>
          </cell>
          <cell r="E19">
            <v>9520</v>
          </cell>
          <cell r="F19">
            <v>5804</v>
          </cell>
          <cell r="G19">
            <v>51133</v>
          </cell>
          <cell r="H19">
            <v>63905</v>
          </cell>
        </row>
        <row r="20">
          <cell r="B20">
            <v>2017</v>
          </cell>
          <cell r="C20">
            <v>119594</v>
          </cell>
          <cell r="D20">
            <v>39947</v>
          </cell>
          <cell r="E20">
            <v>5959</v>
          </cell>
          <cell r="F20">
            <v>4340</v>
          </cell>
          <cell r="G20">
            <v>50246</v>
          </cell>
          <cell r="H20">
            <v>69348</v>
          </cell>
        </row>
        <row r="21">
          <cell r="B21">
            <v>2018</v>
          </cell>
          <cell r="C21">
            <v>120000</v>
          </cell>
          <cell r="D21">
            <v>41138</v>
          </cell>
          <cell r="E21">
            <v>8466</v>
          </cell>
          <cell r="F21">
            <v>2093</v>
          </cell>
          <cell r="G21">
            <v>51697</v>
          </cell>
          <cell r="H21">
            <v>68303</v>
          </cell>
        </row>
        <row r="22">
          <cell r="B22">
            <v>2019</v>
          </cell>
          <cell r="C22">
            <v>99469</v>
          </cell>
          <cell r="D22">
            <v>34031</v>
          </cell>
          <cell r="E22">
            <v>2538</v>
          </cell>
          <cell r="F22">
            <v>2985</v>
          </cell>
          <cell r="G22">
            <v>39554</v>
          </cell>
          <cell r="H22">
            <v>59915</v>
          </cell>
        </row>
        <row r="23">
          <cell r="B23">
            <v>2020</v>
          </cell>
          <cell r="C23">
            <v>122000</v>
          </cell>
          <cell r="D23">
            <v>41389</v>
          </cell>
          <cell r="E23">
            <v>8692</v>
          </cell>
          <cell r="F23">
            <v>4692</v>
          </cell>
          <cell r="G23">
            <v>54773</v>
          </cell>
          <cell r="H23">
            <v>67227</v>
          </cell>
        </row>
        <row r="27">
          <cell r="B27">
            <v>2127</v>
          </cell>
          <cell r="C27">
            <v>24395</v>
          </cell>
        </row>
        <row r="28">
          <cell r="B28">
            <v>9689</v>
          </cell>
          <cell r="C28">
            <v>39946</v>
          </cell>
        </row>
        <row r="29">
          <cell r="B29">
            <v>6315</v>
          </cell>
          <cell r="C29">
            <v>43000</v>
          </cell>
        </row>
        <row r="30">
          <cell r="B30">
            <v>10924</v>
          </cell>
          <cell r="C30">
            <v>33330</v>
          </cell>
        </row>
        <row r="31">
          <cell r="B31">
            <v>1919</v>
          </cell>
          <cell r="C31">
            <v>36611</v>
          </cell>
        </row>
        <row r="32">
          <cell r="B32">
            <v>10164</v>
          </cell>
          <cell r="C32">
            <v>27769</v>
          </cell>
        </row>
        <row r="33">
          <cell r="B33">
            <v>4757</v>
          </cell>
          <cell r="C33">
            <v>40642</v>
          </cell>
        </row>
        <row r="34">
          <cell r="B34">
            <v>13586</v>
          </cell>
          <cell r="C34">
            <v>33746</v>
          </cell>
        </row>
        <row r="35">
          <cell r="B35">
            <v>5154</v>
          </cell>
          <cell r="C35">
            <v>29322</v>
          </cell>
        </row>
        <row r="36">
          <cell r="B36">
            <v>6425</v>
          </cell>
          <cell r="C36">
            <v>38965</v>
          </cell>
        </row>
        <row r="48">
          <cell r="B48">
            <v>2127</v>
          </cell>
          <cell r="C48">
            <v>67713</v>
          </cell>
        </row>
        <row r="49">
          <cell r="B49">
            <v>9689</v>
          </cell>
          <cell r="C49">
            <v>64054</v>
          </cell>
        </row>
        <row r="50">
          <cell r="B50">
            <v>6315</v>
          </cell>
          <cell r="C50">
            <v>60326</v>
          </cell>
        </row>
        <row r="51">
          <cell r="B51">
            <v>10924</v>
          </cell>
          <cell r="C51">
            <v>61552</v>
          </cell>
        </row>
        <row r="52">
          <cell r="B52">
            <v>1919</v>
          </cell>
          <cell r="C52">
            <v>70109</v>
          </cell>
        </row>
        <row r="53">
          <cell r="B53">
            <v>10164</v>
          </cell>
          <cell r="C53">
            <v>63905</v>
          </cell>
        </row>
        <row r="54">
          <cell r="B54">
            <v>4757</v>
          </cell>
          <cell r="C54">
            <v>69348</v>
          </cell>
        </row>
        <row r="55">
          <cell r="B55">
            <v>13586</v>
          </cell>
          <cell r="C55">
            <v>68303</v>
          </cell>
        </row>
        <row r="56">
          <cell r="B56">
            <v>5154</v>
          </cell>
          <cell r="C56">
            <v>59915</v>
          </cell>
        </row>
        <row r="57">
          <cell r="B57">
            <v>6425</v>
          </cell>
          <cell r="C57">
            <v>67227</v>
          </cell>
        </row>
        <row r="73">
          <cell r="B73">
            <v>4074</v>
          </cell>
          <cell r="C73">
            <v>24395</v>
          </cell>
        </row>
        <row r="74">
          <cell r="B74">
            <v>3630</v>
          </cell>
          <cell r="C74">
            <v>39946</v>
          </cell>
        </row>
        <row r="75">
          <cell r="B75">
            <v>4195</v>
          </cell>
          <cell r="C75">
            <v>43000</v>
          </cell>
        </row>
        <row r="76">
          <cell r="B76">
            <v>4345</v>
          </cell>
          <cell r="C76">
            <v>33330</v>
          </cell>
        </row>
        <row r="77">
          <cell r="B77">
            <v>1285</v>
          </cell>
          <cell r="C77">
            <v>36611</v>
          </cell>
        </row>
        <row r="78">
          <cell r="B78">
            <v>2729</v>
          </cell>
          <cell r="C78">
            <v>27769</v>
          </cell>
        </row>
        <row r="79">
          <cell r="B79">
            <v>1626</v>
          </cell>
          <cell r="C79">
            <v>40642</v>
          </cell>
        </row>
        <row r="80">
          <cell r="B80">
            <v>627</v>
          </cell>
          <cell r="C80">
            <v>33746</v>
          </cell>
        </row>
        <row r="81">
          <cell r="B81">
            <v>3254</v>
          </cell>
          <cell r="C81">
            <v>29322</v>
          </cell>
        </row>
        <row r="82">
          <cell r="B82">
            <v>1459</v>
          </cell>
          <cell r="C82">
            <v>38965</v>
          </cell>
        </row>
        <row r="94">
          <cell r="B94">
            <v>4074</v>
          </cell>
          <cell r="C94">
            <v>67713</v>
          </cell>
        </row>
        <row r="95">
          <cell r="B95">
            <v>3630</v>
          </cell>
          <cell r="C95">
            <v>64054</v>
          </cell>
        </row>
        <row r="96">
          <cell r="B96">
            <v>4195</v>
          </cell>
          <cell r="C96">
            <v>60326</v>
          </cell>
        </row>
        <row r="97">
          <cell r="B97">
            <v>4345</v>
          </cell>
          <cell r="C97">
            <v>61552</v>
          </cell>
        </row>
        <row r="98">
          <cell r="B98">
            <v>1285</v>
          </cell>
          <cell r="C98">
            <v>70109</v>
          </cell>
        </row>
        <row r="99">
          <cell r="B99">
            <v>2729</v>
          </cell>
          <cell r="C99">
            <v>63905</v>
          </cell>
        </row>
        <row r="100">
          <cell r="B100">
            <v>1626</v>
          </cell>
          <cell r="C100">
            <v>69348</v>
          </cell>
        </row>
        <row r="101">
          <cell r="B101">
            <v>627</v>
          </cell>
          <cell r="C101">
            <v>68303</v>
          </cell>
        </row>
        <row r="102">
          <cell r="B102">
            <v>3254</v>
          </cell>
          <cell r="C102">
            <v>59915</v>
          </cell>
        </row>
        <row r="103">
          <cell r="B103">
            <v>1459</v>
          </cell>
          <cell r="C103">
            <v>67227</v>
          </cell>
        </row>
        <row r="117">
          <cell r="B117">
            <v>1871</v>
          </cell>
          <cell r="C117">
            <v>24395</v>
          </cell>
        </row>
        <row r="118">
          <cell r="B118">
            <v>2025</v>
          </cell>
          <cell r="C118">
            <v>39946</v>
          </cell>
        </row>
        <row r="119">
          <cell r="B119">
            <v>575</v>
          </cell>
          <cell r="C119">
            <v>43000</v>
          </cell>
        </row>
        <row r="120">
          <cell r="B120">
            <v>1413</v>
          </cell>
          <cell r="C120">
            <v>33330</v>
          </cell>
        </row>
        <row r="121">
          <cell r="B121">
            <v>449</v>
          </cell>
          <cell r="C121">
            <v>36611</v>
          </cell>
        </row>
        <row r="122">
          <cell r="B122">
            <v>431</v>
          </cell>
          <cell r="C122">
            <v>27769</v>
          </cell>
        </row>
        <row r="123">
          <cell r="B123">
            <v>1987</v>
          </cell>
          <cell r="C123">
            <v>40642</v>
          </cell>
        </row>
        <row r="124">
          <cell r="B124">
            <v>1784</v>
          </cell>
          <cell r="C124">
            <v>33746</v>
          </cell>
        </row>
        <row r="125">
          <cell r="B125">
            <v>1764</v>
          </cell>
          <cell r="C125">
            <v>29322</v>
          </cell>
        </row>
        <row r="126">
          <cell r="B126">
            <v>1429</v>
          </cell>
          <cell r="C126">
            <v>38965</v>
          </cell>
        </row>
        <row r="138">
          <cell r="B138">
            <v>1871</v>
          </cell>
          <cell r="C138">
            <v>67713</v>
          </cell>
        </row>
        <row r="139">
          <cell r="B139">
            <v>2025</v>
          </cell>
          <cell r="C139">
            <v>64054</v>
          </cell>
        </row>
        <row r="140">
          <cell r="B140">
            <v>575</v>
          </cell>
          <cell r="C140">
            <v>60326</v>
          </cell>
        </row>
        <row r="141">
          <cell r="B141">
            <v>1413</v>
          </cell>
          <cell r="C141">
            <v>61552</v>
          </cell>
        </row>
        <row r="142">
          <cell r="B142">
            <v>449</v>
          </cell>
          <cell r="C142">
            <v>70109</v>
          </cell>
        </row>
        <row r="143">
          <cell r="B143">
            <v>431</v>
          </cell>
          <cell r="C143">
            <v>63905</v>
          </cell>
        </row>
        <row r="144">
          <cell r="B144">
            <v>1987</v>
          </cell>
          <cell r="C144">
            <v>69348</v>
          </cell>
        </row>
        <row r="145">
          <cell r="B145">
            <v>1784</v>
          </cell>
          <cell r="C145">
            <v>68303</v>
          </cell>
        </row>
        <row r="146">
          <cell r="B146">
            <v>1764</v>
          </cell>
          <cell r="C146">
            <v>59915</v>
          </cell>
        </row>
        <row r="147">
          <cell r="B147">
            <v>1429</v>
          </cell>
          <cell r="C147">
            <v>67227</v>
          </cell>
        </row>
      </sheetData>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In"/>
      <sheetName val="Hidden"/>
      <sheetName val="Data Pivot Chart"/>
      <sheetName val="Main Data with Charts"/>
      <sheetName val="Pivot Tables-Charts"/>
      <sheetName val="SummaryCharts"/>
      <sheetName val="StaffHours"/>
      <sheetName val="ClientTravel"/>
      <sheetName val="TechnologySupport"/>
      <sheetName val="Investment"/>
      <sheetName val="Text Report"/>
      <sheetName val="Investment Data"/>
    </sheetNames>
    <sheetDataSet>
      <sheetData sheetId="0"/>
      <sheetData sheetId="1"/>
      <sheetData sheetId="2"/>
      <sheetData sheetId="3">
        <row r="30">
          <cell r="AQ30">
            <v>15000</v>
          </cell>
          <cell r="AR30">
            <v>1</v>
          </cell>
        </row>
        <row r="31">
          <cell r="AM31">
            <v>35000</v>
          </cell>
          <cell r="AN31">
            <v>0</v>
          </cell>
          <cell r="AQ31">
            <v>20000</v>
          </cell>
          <cell r="AR31">
            <v>0</v>
          </cell>
        </row>
        <row r="32">
          <cell r="AM32">
            <v>40000</v>
          </cell>
          <cell r="AN32">
            <v>2</v>
          </cell>
          <cell r="AQ32">
            <v>25000</v>
          </cell>
          <cell r="AR32">
            <v>0</v>
          </cell>
        </row>
        <row r="33">
          <cell r="AM33">
            <v>45000</v>
          </cell>
          <cell r="AN33">
            <v>1</v>
          </cell>
          <cell r="AQ33">
            <v>30000</v>
          </cell>
          <cell r="AR33">
            <v>2</v>
          </cell>
        </row>
        <row r="34">
          <cell r="AM34">
            <v>50000</v>
          </cell>
          <cell r="AN34">
            <v>6</v>
          </cell>
          <cell r="AQ34">
            <v>35000</v>
          </cell>
          <cell r="AR34">
            <v>2</v>
          </cell>
        </row>
        <row r="35">
          <cell r="AM35">
            <v>55000</v>
          </cell>
          <cell r="AN35">
            <v>1</v>
          </cell>
          <cell r="AQ35">
            <v>40000</v>
          </cell>
          <cell r="AR35">
            <v>3</v>
          </cell>
        </row>
        <row r="36">
          <cell r="AM36"/>
          <cell r="AN36"/>
          <cell r="AQ36">
            <v>45000</v>
          </cell>
          <cell r="AR36">
            <v>2</v>
          </cell>
        </row>
        <row r="37">
          <cell r="AQ37"/>
          <cell r="AR37">
            <v>0</v>
          </cell>
        </row>
        <row r="46">
          <cell r="AR46">
            <v>55000</v>
          </cell>
          <cell r="AS46">
            <v>0</v>
          </cell>
        </row>
        <row r="47">
          <cell r="AK47">
            <v>35000</v>
          </cell>
          <cell r="AL47">
            <v>0</v>
          </cell>
          <cell r="AR47">
            <v>60000</v>
          </cell>
          <cell r="AS47">
            <v>1</v>
          </cell>
        </row>
        <row r="48">
          <cell r="AK48">
            <v>40000</v>
          </cell>
          <cell r="AL48">
            <v>2</v>
          </cell>
          <cell r="AR48">
            <v>65000</v>
          </cell>
          <cell r="AS48">
            <v>4</v>
          </cell>
        </row>
        <row r="49">
          <cell r="AK49">
            <v>45000</v>
          </cell>
          <cell r="AL49">
            <v>2</v>
          </cell>
          <cell r="AR49">
            <v>70000</v>
          </cell>
          <cell r="AS49">
            <v>4</v>
          </cell>
        </row>
        <row r="50">
          <cell r="AK50">
            <v>50000</v>
          </cell>
          <cell r="AL50">
            <v>0</v>
          </cell>
          <cell r="AR50">
            <v>75000</v>
          </cell>
          <cell r="AS50">
            <v>1</v>
          </cell>
        </row>
        <row r="51">
          <cell r="AK51">
            <v>55000</v>
          </cell>
          <cell r="AL51">
            <v>6</v>
          </cell>
          <cell r="AR51"/>
          <cell r="AS51" t="e">
            <v>#N/A</v>
          </cell>
        </row>
        <row r="52">
          <cell r="AK52"/>
          <cell r="AL52">
            <v>0</v>
          </cell>
        </row>
      </sheetData>
      <sheetData sheetId="4"/>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court/Downloads/PWC-ProjectTemplates%20V3.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court/Downloads/PWC-ProjectTemplates%20V3.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D:\DownloadsInD\PWC-Project%20V14.xlsx"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urtney Q" refreshedDate="44168.48413553241" createdVersion="6" refreshedVersion="6" minRefreshableVersion="3" recordCount="10" xr:uid="{72D00A6F-BFFF-4F61-B070-C1EAD6B53BEC}">
  <cacheSource type="worksheet">
    <worksheetSource ref="B15:H25" sheet="Data Pivot Chart" r:id="rId2"/>
  </cacheSource>
  <cacheFields count="7">
    <cacheField name="YEAR" numFmtId="0">
      <sharedItems containsSemiMixedTypes="0" containsString="0" containsNumber="1" containsInteger="1" minValue="2011" maxValue="2020" count="10">
        <n v="2011"/>
        <n v="2012"/>
        <n v="2013"/>
        <n v="2014"/>
        <n v="2015"/>
        <n v="2016"/>
        <n v="2017"/>
        <n v="2018"/>
        <n v="2019"/>
        <n v="2020"/>
      </sharedItems>
    </cacheField>
    <cacheField name="Project Revenue" numFmtId="164">
      <sharedItems containsSemiMixedTypes="0" containsString="0" containsNumber="1" containsInteger="1" minValue="99469" maxValue="122000"/>
    </cacheField>
    <cacheField name="Staff Hours" numFmtId="164">
      <sharedItems containsSemiMixedTypes="0" containsString="0" containsNumber="1" containsInteger="1" minValue="30951" maxValue="41991"/>
    </cacheField>
    <cacheField name="Client Travel" numFmtId="164">
      <sharedItems containsSemiMixedTypes="0" containsString="0" containsNumber="1" containsInteger="1" minValue="2538" maxValue="9520"/>
    </cacheField>
    <cacheField name="Technology Support" numFmtId="164">
      <sharedItems containsSemiMixedTypes="0" containsString="0" containsNumber="1" containsInteger="1" minValue="2093" maxValue="5804"/>
    </cacheField>
    <cacheField name="Total Expenses" numFmtId="164">
      <sharedItems containsSemiMixedTypes="0" containsString="0" containsNumber="1" containsInteger="1" minValue="39554" maxValue="54773"/>
    </cacheField>
    <cacheField name="Gross Profit" numFmtId="164">
      <sharedItems containsSemiMixedTypes="0" containsString="0" containsNumber="1" containsInteger="1" minValue="59915" maxValue="7010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urtney Q" refreshedDate="44168.484135879633" createdVersion="6" refreshedVersion="6" minRefreshableVersion="3" recordCount="10" xr:uid="{28227489-C613-4DF7-AF0F-E9EA20976D03}">
  <cacheSource type="worksheet">
    <worksheetSource ref="B4:H14" sheet="Data Pivot Chart" r:id="rId2"/>
  </cacheSource>
  <cacheFields count="7">
    <cacheField name="YEAR" numFmtId="0">
      <sharedItems containsSemiMixedTypes="0" containsString="0" containsNumber="1" containsInteger="1" minValue="2011" maxValue="2020" count="10">
        <n v="2011"/>
        <n v="2012"/>
        <n v="2013"/>
        <n v="2014"/>
        <n v="2015"/>
        <n v="2016"/>
        <n v="2017"/>
        <n v="2018"/>
        <n v="2019"/>
        <n v="2020"/>
      </sharedItems>
    </cacheField>
    <cacheField name="Project Revenue" numFmtId="164">
      <sharedItems containsSemiMixedTypes="0" containsString="0" containsNumber="1" containsInteger="1" minValue="65578" maxValue="93759"/>
    </cacheField>
    <cacheField name="Staff Hours" numFmtId="164">
      <sharedItems containsSemiMixedTypes="0" containsString="0" containsNumber="1" containsInteger="1" minValue="25645" maxValue="38325"/>
    </cacheField>
    <cacheField name="Client Travel" numFmtId="164">
      <sharedItems containsSemiMixedTypes="0" containsString="0" containsNumber="1" containsInteger="1" minValue="5792" maxValue="9093"/>
    </cacheField>
    <cacheField name="Technology Support" numFmtId="164">
      <sharedItems containsSemiMixedTypes="0" containsString="0" containsNumber="1" containsInteger="1" minValue="3263" maxValue="7369"/>
    </cacheField>
    <cacheField name="Total Expenses" numFmtId="164">
      <sharedItems containsSemiMixedTypes="0" containsString="0" containsNumber="1" containsInteger="1" minValue="37809" maxValue="50759"/>
    </cacheField>
    <cacheField name="Gross Profit" numFmtId="164">
      <sharedItems containsSemiMixedTypes="0" containsString="0" containsNumber="1" containsInteger="1" minValue="24395" maxValue="43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manvip" refreshedDate="44169.735014583333" createdVersion="6" refreshedVersion="6" minRefreshableVersion="3" recordCount="20" xr:uid="{8FE45377-CD09-44D4-8670-BCB9FFC5D7AD}">
  <cacheSource type="worksheet">
    <worksheetSource ref="A1:H21" sheet="Pivot Tables-Charts" r:id="rId2"/>
  </cacheSource>
  <cacheFields count="8">
    <cacheField name="Region" numFmtId="0">
      <sharedItems containsSemiMixedTypes="0" containsString="0" containsNumber="1" containsInteger="1" minValue="1" maxValue="2" count="2">
        <n v="1"/>
        <n v="2"/>
      </sharedItems>
    </cacheField>
    <cacheField name="Year" numFmtId="0">
      <sharedItems containsSemiMixedTypes="0" containsString="0" containsNumber="1" containsInteger="1" minValue="2011" maxValue="2020" count="10">
        <n v="2011"/>
        <n v="2012"/>
        <n v="2013"/>
        <n v="2014"/>
        <n v="2015"/>
        <n v="2016"/>
        <n v="2017"/>
        <n v="2018"/>
        <n v="2019"/>
        <n v="2020"/>
      </sharedItems>
    </cacheField>
    <cacheField name="Project Revenue" numFmtId="164">
      <sharedItems containsSemiMixedTypes="0" containsString="0" containsNumber="1" containsInteger="1" minValue="60000" maxValue="122000"/>
    </cacheField>
    <cacheField name="Staff Hours" numFmtId="164">
      <sharedItems containsSemiMixedTypes="0" containsString="0" containsNumber="1" containsInteger="1" minValue="25645" maxValue="41991"/>
    </cacheField>
    <cacheField name="Client Travel" numFmtId="164">
      <sharedItems containsSemiMixedTypes="0" containsString="0" containsNumber="1" containsInteger="1" minValue="2538" maxValue="9520"/>
    </cacheField>
    <cacheField name="Technology Support" numFmtId="164">
      <sharedItems containsSemiMixedTypes="0" containsString="0" containsNumber="1" containsInteger="1" minValue="2093" maxValue="7369"/>
    </cacheField>
    <cacheField name="Total Expenses" numFmtId="164">
      <sharedItems containsSemiMixedTypes="0" containsString="0" containsNumber="1" containsInteger="1" minValue="37809" maxValue="54773"/>
    </cacheField>
    <cacheField name="Gross Profit" numFmtId="164">
      <sharedItems containsSemiMixedTypes="0" containsString="0" containsNumber="1" containsInteger="1" minValue="13552" maxValue="70109"/>
    </cacheField>
  </cacheFields>
  <extLst>
    <ext xmlns:x14="http://schemas.microsoft.com/office/spreadsheetml/2009/9/main" uri="{725AE2AE-9491-48be-B2B4-4EB974FC3084}">
      <x14:pivotCacheDefinition pivotCacheId="7488097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10343"/>
    <n v="35568"/>
    <n v="3658"/>
    <n v="3404"/>
    <n v="42630"/>
    <n v="67713"/>
  </r>
  <r>
    <x v="1"/>
    <n v="116000"/>
    <n v="41549"/>
    <n v="5053"/>
    <n v="5344"/>
    <n v="51946"/>
    <n v="64054"/>
  </r>
  <r>
    <x v="2"/>
    <n v="100000"/>
    <n v="32010"/>
    <n v="3993"/>
    <n v="3671"/>
    <n v="39674"/>
    <n v="60326"/>
  </r>
  <r>
    <x v="3"/>
    <n v="112000"/>
    <n v="41991"/>
    <n v="4091"/>
    <n v="4366"/>
    <n v="50448"/>
    <n v="61552"/>
  </r>
  <r>
    <x v="4"/>
    <n v="115000"/>
    <n v="30951"/>
    <n v="9067"/>
    <n v="4873"/>
    <n v="44891"/>
    <n v="70109"/>
  </r>
  <r>
    <x v="5"/>
    <n v="115038"/>
    <n v="35809"/>
    <n v="9520"/>
    <n v="5804"/>
    <n v="51133"/>
    <n v="63905"/>
  </r>
  <r>
    <x v="6"/>
    <n v="119594"/>
    <n v="39947"/>
    <n v="5959"/>
    <n v="4340"/>
    <n v="50246"/>
    <n v="69348"/>
  </r>
  <r>
    <x v="7"/>
    <n v="120000"/>
    <n v="41138"/>
    <n v="8466"/>
    <n v="2093"/>
    <n v="51697"/>
    <n v="68303"/>
  </r>
  <r>
    <x v="8"/>
    <n v="99469"/>
    <n v="34031"/>
    <n v="2538"/>
    <n v="2985"/>
    <n v="39554"/>
    <n v="59915"/>
  </r>
  <r>
    <x v="9"/>
    <n v="122000"/>
    <n v="41389"/>
    <n v="8692"/>
    <n v="4692"/>
    <n v="54773"/>
    <n v="672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70843"/>
    <n v="33441"/>
    <n v="7732"/>
    <n v="5275"/>
    <n v="46448"/>
    <n v="24395"/>
  </r>
  <r>
    <x v="1"/>
    <n v="87858"/>
    <n v="31860"/>
    <n v="8683"/>
    <n v="7369"/>
    <n v="47912"/>
    <n v="39946"/>
  </r>
  <r>
    <x v="2"/>
    <n v="93759"/>
    <n v="38325"/>
    <n v="8188"/>
    <n v="4246"/>
    <n v="50759"/>
    <n v="43000"/>
  </r>
  <r>
    <x v="3"/>
    <n v="78612"/>
    <n v="31067"/>
    <n v="8436"/>
    <n v="5779"/>
    <n v="45282"/>
    <n v="33330"/>
  </r>
  <r>
    <x v="4"/>
    <n v="81687"/>
    <n v="32870"/>
    <n v="7782"/>
    <n v="4424"/>
    <n v="45076"/>
    <n v="36611"/>
  </r>
  <r>
    <x v="5"/>
    <n v="65578"/>
    <n v="25645"/>
    <n v="6791"/>
    <n v="5373"/>
    <n v="37809"/>
    <n v="27769"/>
  </r>
  <r>
    <x v="6"/>
    <n v="89744"/>
    <n v="35190"/>
    <n v="7585"/>
    <n v="6327"/>
    <n v="49102"/>
    <n v="40642"/>
  </r>
  <r>
    <x v="7"/>
    <n v="74268"/>
    <n v="27552"/>
    <n v="9093"/>
    <n v="3877"/>
    <n v="40522"/>
    <n v="33746"/>
  </r>
  <r>
    <x v="8"/>
    <n v="68740"/>
    <n v="28877"/>
    <n v="5792"/>
    <n v="4749"/>
    <n v="39418"/>
    <n v="29322"/>
  </r>
  <r>
    <x v="9"/>
    <n v="84425"/>
    <n v="34964"/>
    <n v="7233"/>
    <n v="3263"/>
    <n v="45460"/>
    <n v="3896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60000"/>
    <n v="33441"/>
    <n v="7732"/>
    <n v="5275"/>
    <n v="46448"/>
    <n v="13552"/>
  </r>
  <r>
    <x v="0"/>
    <x v="1"/>
    <n v="87858"/>
    <n v="31860"/>
    <n v="8683"/>
    <n v="7369"/>
    <n v="47912"/>
    <n v="39946"/>
  </r>
  <r>
    <x v="0"/>
    <x v="2"/>
    <n v="93759"/>
    <n v="38325"/>
    <n v="8188"/>
    <n v="4246"/>
    <n v="50759"/>
    <n v="43000"/>
  </r>
  <r>
    <x v="0"/>
    <x v="3"/>
    <n v="78612"/>
    <n v="31067"/>
    <n v="8436"/>
    <n v="5779"/>
    <n v="45282"/>
    <n v="33330"/>
  </r>
  <r>
    <x v="0"/>
    <x v="4"/>
    <n v="81687"/>
    <n v="32870"/>
    <n v="7782"/>
    <n v="4424"/>
    <n v="45076"/>
    <n v="36611"/>
  </r>
  <r>
    <x v="0"/>
    <x v="5"/>
    <n v="65578"/>
    <n v="25645"/>
    <n v="6791"/>
    <n v="5373"/>
    <n v="37809"/>
    <n v="27769"/>
  </r>
  <r>
    <x v="0"/>
    <x v="6"/>
    <n v="89744"/>
    <n v="35190"/>
    <n v="7585"/>
    <n v="6327"/>
    <n v="49102"/>
    <n v="40642"/>
  </r>
  <r>
    <x v="0"/>
    <x v="7"/>
    <n v="74268"/>
    <n v="27552"/>
    <n v="9093"/>
    <n v="3877"/>
    <n v="40522"/>
    <n v="33746"/>
  </r>
  <r>
    <x v="0"/>
    <x v="8"/>
    <n v="68740"/>
    <n v="28877"/>
    <n v="5792"/>
    <n v="4749"/>
    <n v="39418"/>
    <n v="29322"/>
  </r>
  <r>
    <x v="0"/>
    <x v="9"/>
    <n v="84425"/>
    <n v="34964"/>
    <n v="7233"/>
    <n v="3263"/>
    <n v="45460"/>
    <n v="38965"/>
  </r>
  <r>
    <x v="1"/>
    <x v="0"/>
    <n v="110343"/>
    <n v="35568"/>
    <n v="3658"/>
    <n v="3404"/>
    <n v="42630"/>
    <n v="67713"/>
  </r>
  <r>
    <x v="1"/>
    <x v="1"/>
    <n v="116000"/>
    <n v="41549"/>
    <n v="5053"/>
    <n v="5344"/>
    <n v="51946"/>
    <n v="64054"/>
  </r>
  <r>
    <x v="1"/>
    <x v="2"/>
    <n v="100000"/>
    <n v="32010"/>
    <n v="3993"/>
    <n v="3671"/>
    <n v="39674"/>
    <n v="60326"/>
  </r>
  <r>
    <x v="1"/>
    <x v="3"/>
    <n v="112000"/>
    <n v="41991"/>
    <n v="4091"/>
    <n v="4366"/>
    <n v="50448"/>
    <n v="61552"/>
  </r>
  <r>
    <x v="1"/>
    <x v="4"/>
    <n v="115000"/>
    <n v="30951"/>
    <n v="9067"/>
    <n v="4873"/>
    <n v="44891"/>
    <n v="70109"/>
  </r>
  <r>
    <x v="1"/>
    <x v="5"/>
    <n v="115038"/>
    <n v="35809"/>
    <n v="9520"/>
    <n v="5804"/>
    <n v="51133"/>
    <n v="63905"/>
  </r>
  <r>
    <x v="1"/>
    <x v="6"/>
    <n v="119594"/>
    <n v="39947"/>
    <n v="5959"/>
    <n v="4340"/>
    <n v="50246"/>
    <n v="69348"/>
  </r>
  <r>
    <x v="1"/>
    <x v="7"/>
    <n v="120000"/>
    <n v="41138"/>
    <n v="8466"/>
    <n v="2093"/>
    <n v="51697"/>
    <n v="68303"/>
  </r>
  <r>
    <x v="1"/>
    <x v="8"/>
    <n v="99469"/>
    <n v="34031"/>
    <n v="2538"/>
    <n v="2985"/>
    <n v="39554"/>
    <n v="59915"/>
  </r>
  <r>
    <x v="1"/>
    <x v="9"/>
    <n v="122000"/>
    <n v="41389"/>
    <n v="8692"/>
    <n v="4692"/>
    <n v="54773"/>
    <n v="672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CD1B7D-6847-4A0F-8ECC-B741EE1387F4}"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4:O5" firstHeaderRow="0" firstDataRow="1" firstDataCol="0" rowPageCount="1" colPageCount="1"/>
  <pivotFields count="7">
    <pivotField axis="axisPage" multipleItemSelectionAllowed="1" showAll="0">
      <items count="11">
        <item x="0"/>
        <item x="1"/>
        <item x="2"/>
        <item x="3"/>
        <item x="4"/>
        <item x="5"/>
        <item x="6"/>
        <item x="7"/>
        <item x="8"/>
        <item x="9"/>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s>
  <rowItems count="1">
    <i/>
  </rowItems>
  <colFields count="1">
    <field x="-2"/>
  </colFields>
  <colItems count="6">
    <i>
      <x/>
    </i>
    <i i="1">
      <x v="1"/>
    </i>
    <i i="2">
      <x v="2"/>
    </i>
    <i i="3">
      <x v="3"/>
    </i>
    <i i="4">
      <x v="4"/>
    </i>
    <i i="5">
      <x v="5"/>
    </i>
  </colItems>
  <pageFields count="1">
    <pageField fld="0" hier="-1"/>
  </pageFields>
  <dataFields count="6">
    <dataField name="Sum of Staff Hours" fld="2" baseField="0" baseItem="0"/>
    <dataField name="Sum of Client Travel" fld="3" baseField="0" baseItem="0"/>
    <dataField name="Sum of Technology Support" fld="4" baseField="0" baseItem="0"/>
    <dataField name="Sum of Project Revenue" fld="1" baseField="0" baseItem="0"/>
    <dataField name="Sum of Total Expenses" fld="5" baseField="0" baseItem="0"/>
    <dataField name="Sum of Gross Profi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3B18F9-9150-4CE9-B4EB-6470F4411BF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9:O10" firstHeaderRow="0" firstDataRow="1" firstDataCol="0" rowPageCount="1" colPageCount="1"/>
  <pivotFields count="7">
    <pivotField axis="axisPage" showAll="0">
      <items count="11">
        <item x="0"/>
        <item x="1"/>
        <item x="2"/>
        <item x="3"/>
        <item x="4"/>
        <item x="5"/>
        <item x="6"/>
        <item x="7"/>
        <item x="8"/>
        <item x="9"/>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s>
  <rowItems count="1">
    <i/>
  </rowItems>
  <colFields count="1">
    <field x="-2"/>
  </colFields>
  <colItems count="6">
    <i>
      <x/>
    </i>
    <i i="1">
      <x v="1"/>
    </i>
    <i i="2">
      <x v="2"/>
    </i>
    <i i="3">
      <x v="3"/>
    </i>
    <i i="4">
      <x v="4"/>
    </i>
    <i i="5">
      <x v="5"/>
    </i>
  </colItems>
  <pageFields count="1">
    <pageField fld="0" hier="-1"/>
  </pageFields>
  <dataFields count="6">
    <dataField name="Sum of Staff Hours" fld="2" baseField="0" baseItem="0"/>
    <dataField name="Sum of Client Travel" fld="3" baseField="0" baseItem="0"/>
    <dataField name="Sum of Technology Support" fld="4" baseField="0" baseItem="0"/>
    <dataField name="Sum of Project Revenue" fld="1" baseField="0" baseItem="0"/>
    <dataField name="Sum of Total Expenses" fld="5" baseField="0" baseItem="0"/>
    <dataField name="Sum of Gross Profi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4DF07B2-857E-4D0A-A890-9EB94A029A33}" name="PivotTable4" cacheId="2" dataOnRows="1" applyNumberFormats="0" applyBorderFormats="0" applyFontFormats="0" applyPatternFormats="0" applyAlignmentFormats="0" applyWidthHeightFormats="1" dataCaption="Expenses and Revenue" updatedVersion="6" minRefreshableVersion="3" useAutoFormatting="1" itemPrintTitles="1" createdVersion="6" indent="0" outline="1" outlineData="1" multipleFieldFilters="0" chartFormat="2" colHeaderCaption="Region Number">
  <location ref="J9:M16" firstHeaderRow="1" firstDataRow="2" firstDataCol="1" rowPageCount="1" colPageCount="1"/>
  <pivotFields count="8">
    <pivotField axis="axisCol" showAll="0">
      <items count="3">
        <item x="0"/>
        <item x="1"/>
        <item t="default"/>
      </items>
    </pivotField>
    <pivotField axis="axisPage" multipleItemSelectionAllowed="1" showAll="0">
      <items count="11">
        <item x="0"/>
        <item h="1" x="1"/>
        <item h="1" x="2"/>
        <item h="1" x="3"/>
        <item h="1" x="4"/>
        <item h="1" x="5"/>
        <item h="1" x="6"/>
        <item h="1" x="7"/>
        <item h="1" x="8"/>
        <item h="1" x="9"/>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s>
  <rowFields count="1">
    <field x="-2"/>
  </rowFields>
  <rowItems count="6">
    <i>
      <x/>
    </i>
    <i i="1">
      <x v="1"/>
    </i>
    <i i="2">
      <x v="2"/>
    </i>
    <i i="3">
      <x v="3"/>
    </i>
    <i i="4">
      <x v="4"/>
    </i>
    <i i="5">
      <x v="5"/>
    </i>
  </rowItems>
  <colFields count="1">
    <field x="0"/>
  </colFields>
  <colItems count="3">
    <i>
      <x/>
    </i>
    <i>
      <x v="1"/>
    </i>
    <i t="grand">
      <x/>
    </i>
  </colItems>
  <pageFields count="1">
    <pageField fld="1" hier="-1"/>
  </pageFields>
  <dataFields count="6">
    <dataField name="Staff Hours per Region" fld="3" baseField="0" baseItem="0"/>
    <dataField name="Client Travel per Region" fld="4" baseField="0" baseItem="0"/>
    <dataField name="Technology Support per Region" fld="5" baseField="0" baseItem="0"/>
    <dataField name="Total Expenses per Region" fld="6" baseField="0" baseItem="0"/>
    <dataField name="Project Revenue per Region" fld="2" baseField="0" baseItem="0"/>
    <dataField name="Gross Profit per Region" fld="7" baseField="0" baseItem="0"/>
  </dataFields>
  <formats count="24">
    <format dxfId="65">
      <pivotArea collapsedLevelsAreSubtotals="1" fieldPosition="0">
        <references count="1">
          <reference field="4294967294" count="1">
            <x v="5"/>
          </reference>
        </references>
      </pivotArea>
    </format>
    <format dxfId="64">
      <pivotArea dataOnly="0" labelOnly="1" outline="0" fieldPosition="0">
        <references count="1">
          <reference field="4294967294" count="1">
            <x v="5"/>
          </reference>
        </references>
      </pivotArea>
    </format>
    <format dxfId="63">
      <pivotArea dataOnly="0" outline="0" fieldPosition="0">
        <references count="1">
          <reference field="4294967294" count="1">
            <x v="4"/>
          </reference>
        </references>
      </pivotArea>
    </format>
    <format dxfId="62">
      <pivotArea dataOnly="0" outline="0" fieldPosition="0">
        <references count="1">
          <reference field="4294967294" count="3">
            <x v="0"/>
            <x v="1"/>
            <x v="2"/>
          </reference>
        </references>
      </pivotArea>
    </format>
    <format dxfId="61">
      <pivotArea dataOnly="0" outline="0" fieldPosition="0">
        <references count="1">
          <reference field="4294967294" count="1">
            <x v="3"/>
          </reference>
        </references>
      </pivotArea>
    </format>
    <format dxfId="60">
      <pivotArea dataOnly="0" outline="0" fieldPosition="0">
        <references count="1">
          <reference field="4294967294" count="2">
            <x v="3"/>
            <x v="4"/>
          </reference>
        </references>
      </pivotArea>
    </format>
    <format dxfId="59">
      <pivotArea collapsedLevelsAreSubtotals="1" fieldPosition="0">
        <references count="1">
          <reference field="4294967294" count="1">
            <x v="5"/>
          </reference>
        </references>
      </pivotArea>
    </format>
    <format dxfId="58">
      <pivotArea dataOnly="0" labelOnly="1" outline="0" fieldPosition="0">
        <references count="1">
          <reference field="4294967294" count="1">
            <x v="5"/>
          </reference>
        </references>
      </pivotArea>
    </format>
    <format dxfId="57">
      <pivotArea field="1" type="button" dataOnly="0" labelOnly="1" outline="0" axis="axisPage" fieldPosition="0"/>
    </format>
    <format dxfId="56">
      <pivotArea type="all" dataOnly="0" outline="0" fieldPosition="0"/>
    </format>
    <format dxfId="55">
      <pivotArea outline="0" collapsedLevelsAreSubtotals="1" fieldPosition="0"/>
    </format>
    <format dxfId="54">
      <pivotArea dataOnly="0" labelOnly="1" outline="0" fieldPosition="0">
        <references count="1">
          <reference field="4294967294" count="6">
            <x v="0"/>
            <x v="1"/>
            <x v="2"/>
            <x v="3"/>
            <x v="4"/>
            <x v="5"/>
          </reference>
        </references>
      </pivotArea>
    </format>
    <format dxfId="53">
      <pivotArea type="origin" dataOnly="0" labelOnly="1" outline="0" fieldPosition="0"/>
    </format>
    <format dxfId="52">
      <pivotArea field="0" type="button" dataOnly="0" labelOnly="1" outline="0" axis="axisCol" fieldPosition="0"/>
    </format>
    <format dxfId="51">
      <pivotArea type="topRight" dataOnly="0" labelOnly="1" outline="0" fieldPosition="0"/>
    </format>
    <format dxfId="50">
      <pivotArea field="-2" type="button" dataOnly="0" labelOnly="1" outline="0" axis="axisRow" fieldPosition="0"/>
    </format>
    <format dxfId="49">
      <pivotArea dataOnly="0" labelOnly="1" fieldPosition="0">
        <references count="1">
          <reference field="0" count="0"/>
        </references>
      </pivotArea>
    </format>
    <format dxfId="48">
      <pivotArea dataOnly="0" labelOnly="1" grandCol="1" outline="0" fieldPosition="0"/>
    </format>
    <format dxfId="47">
      <pivotArea collapsedLevelsAreSubtotals="1" fieldPosition="0">
        <references count="1">
          <reference field="4294967294" count="3">
            <x v="0"/>
            <x v="1"/>
            <x v="2"/>
          </reference>
        </references>
      </pivotArea>
    </format>
    <format dxfId="46">
      <pivotArea dataOnly="0" labelOnly="1" outline="0" fieldPosition="0">
        <references count="1">
          <reference field="4294967294" count="3">
            <x v="0"/>
            <x v="1"/>
            <x v="2"/>
          </reference>
        </references>
      </pivotArea>
    </format>
    <format dxfId="45">
      <pivotArea collapsedLevelsAreSubtotals="1" fieldPosition="0">
        <references count="1">
          <reference field="4294967294" count="2">
            <x v="3"/>
            <x v="4"/>
          </reference>
        </references>
      </pivotArea>
    </format>
    <format dxfId="44">
      <pivotArea dataOnly="0" labelOnly="1" outline="0" fieldPosition="0">
        <references count="1">
          <reference field="4294967294" count="2">
            <x v="3"/>
            <x v="4"/>
          </reference>
        </references>
      </pivotArea>
    </format>
    <format dxfId="43">
      <pivotArea collapsedLevelsAreSubtotals="1" fieldPosition="0">
        <references count="1">
          <reference field="4294967294" count="1">
            <x v="5"/>
          </reference>
        </references>
      </pivotArea>
    </format>
    <format dxfId="42">
      <pivotArea dataOnly="0" labelOnly="1" outline="0" fieldPosition="0">
        <references count="1">
          <reference field="4294967294" count="1">
            <x v="5"/>
          </reference>
        </references>
      </pivotArea>
    </format>
  </format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1" format="0" series="1">
      <pivotArea type="data" outline="0" fieldPosition="0">
        <references count="2">
          <reference field="4294967294" count="1" selected="0">
            <x v="0"/>
          </reference>
          <reference field="0" count="1" selected="0">
            <x v="0"/>
          </reference>
        </references>
      </pivotArea>
    </chartFormat>
    <chartFormat chart="1" format="1"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9B3C04A-4B2F-4CD1-A198-B7F4AEEE0B82}" sourceName="Year">
  <pivotTables>
    <pivotTable tabId="29" name="PivotTable4"/>
  </pivotTables>
  <data>
    <tabular pivotCacheId="748809794">
      <items count="10">
        <i x="0" s="1"/>
        <i x="1"/>
        <i x="2"/>
        <i x="3"/>
        <i x="4"/>
        <i x="5"/>
        <i x="6"/>
        <i x="7"/>
        <i x="8"/>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3801A30-1861-4F27-8DA5-3F437E3DFD46}" cache="Slicer_Year" caption="Year"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91A1E-BFBE-4277-BC7D-135D2E4DF334}">
  <sheetPr codeName="Sheet20"/>
  <dimension ref="A1:W1000"/>
  <sheetViews>
    <sheetView tabSelected="1" topLeftCell="K1" zoomScale="120" zoomScaleNormal="120" workbookViewId="0">
      <selection activeCell="D36" sqref="D36"/>
    </sheetView>
  </sheetViews>
  <sheetFormatPr defaultColWidth="14.42578125" defaultRowHeight="15"/>
  <cols>
    <col min="1" max="26" width="8.7109375" style="92" customWidth="1"/>
    <col min="27" max="16384" width="14.42578125" style="92"/>
  </cols>
  <sheetData>
    <row r="1" spans="1:23" ht="25.5" customHeight="1">
      <c r="A1" s="88" t="s">
        <v>94</v>
      </c>
      <c r="B1" s="89"/>
      <c r="C1" s="89"/>
      <c r="D1" s="89"/>
      <c r="E1" s="89"/>
      <c r="F1" s="89"/>
      <c r="G1" s="89"/>
      <c r="H1" s="89"/>
      <c r="I1" s="89"/>
      <c r="J1" s="89"/>
      <c r="K1" s="89"/>
      <c r="L1" s="89"/>
      <c r="M1" s="89"/>
      <c r="N1" s="89"/>
      <c r="O1" s="89"/>
      <c r="P1" s="89"/>
      <c r="Q1" s="90"/>
      <c r="R1" s="90"/>
      <c r="S1" s="90"/>
      <c r="T1" s="90"/>
      <c r="U1" s="91"/>
      <c r="V1" s="91"/>
      <c r="W1" s="91"/>
    </row>
    <row r="2" spans="1:23" ht="24" customHeight="1">
      <c r="A2" s="82" t="s">
        <v>95</v>
      </c>
      <c r="B2" s="83"/>
      <c r="C2" s="83"/>
      <c r="D2" s="83"/>
      <c r="E2" s="83"/>
      <c r="F2" s="83"/>
      <c r="G2" s="83"/>
      <c r="H2" s="83"/>
      <c r="I2" s="83"/>
      <c r="J2" s="83"/>
      <c r="K2" s="83"/>
      <c r="L2" s="83"/>
      <c r="M2" s="83" t="s">
        <v>96</v>
      </c>
      <c r="N2" s="83"/>
      <c r="O2" s="83"/>
      <c r="P2" s="83"/>
      <c r="Q2" s="83"/>
      <c r="R2" s="83"/>
      <c r="S2" s="83"/>
      <c r="T2" s="83"/>
      <c r="U2" s="84"/>
      <c r="V2" s="84"/>
      <c r="W2" s="84"/>
    </row>
    <row r="3" spans="1:23" ht="19.5" customHeight="1">
      <c r="A3" s="85" t="s">
        <v>97</v>
      </c>
      <c r="B3" s="86"/>
      <c r="C3" s="86"/>
      <c r="D3" s="86"/>
      <c r="E3" s="86"/>
      <c r="F3" s="86"/>
      <c r="G3" s="86"/>
      <c r="H3" s="86"/>
      <c r="I3" s="86"/>
      <c r="J3" s="86"/>
      <c r="K3" s="86"/>
      <c r="L3" s="86"/>
      <c r="M3" s="86"/>
      <c r="N3" s="86"/>
      <c r="O3" s="86"/>
      <c r="P3" s="86"/>
      <c r="Q3" s="83"/>
      <c r="R3" s="83"/>
      <c r="S3" s="83"/>
      <c r="T3" s="83"/>
      <c r="U3" s="87"/>
      <c r="V3" s="87"/>
      <c r="W3" s="87"/>
    </row>
    <row r="4" spans="1:23" ht="14.25" customHeight="1">
      <c r="S4" s="93"/>
    </row>
    <row r="5" spans="1:23" ht="14.25" customHeight="1"/>
    <row r="6" spans="1:23" ht="14.25" customHeight="1"/>
    <row r="7" spans="1:23" ht="14.25" customHeight="1"/>
    <row r="8" spans="1:23" ht="14.25" customHeight="1"/>
    <row r="9" spans="1:23" ht="14.25" customHeight="1"/>
    <row r="10" spans="1:23" ht="14.25" customHeight="1"/>
    <row r="11" spans="1:23" ht="14.25" customHeight="1"/>
    <row r="12" spans="1:23" ht="14.25" customHeight="1"/>
    <row r="13" spans="1:23" ht="14.25" customHeight="1"/>
    <row r="14" spans="1:23" ht="14.25" customHeight="1"/>
    <row r="15" spans="1:23" ht="14.25" customHeight="1"/>
    <row r="16" spans="1:23"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98E74-9646-4A26-9CC4-289DB85A5AAB}">
  <sheetPr codeName="Sheet8"/>
  <dimension ref="A1:I9"/>
  <sheetViews>
    <sheetView workbookViewId="0">
      <selection activeCell="I2" sqref="I2"/>
    </sheetView>
  </sheetViews>
  <sheetFormatPr defaultRowHeight="15"/>
  <cols>
    <col min="1" max="1" width="10.5703125" bestFit="1" customWidth="1"/>
  </cols>
  <sheetData>
    <row r="1" spans="1:9">
      <c r="A1" t="s">
        <v>45</v>
      </c>
      <c r="B1" t="s">
        <v>46</v>
      </c>
      <c r="C1" t="s">
        <v>65</v>
      </c>
      <c r="D1" t="s">
        <v>72</v>
      </c>
      <c r="I1" t="s">
        <v>103</v>
      </c>
    </row>
    <row r="2" spans="1:9">
      <c r="A2" t="s">
        <v>47</v>
      </c>
      <c r="B2" t="s">
        <v>53</v>
      </c>
      <c r="C2" t="s">
        <v>66</v>
      </c>
      <c r="D2" t="s">
        <v>73</v>
      </c>
      <c r="I2" t="s">
        <v>73</v>
      </c>
    </row>
    <row r="3" spans="1:9">
      <c r="A3" t="s">
        <v>56</v>
      </c>
      <c r="B3" t="s">
        <v>50</v>
      </c>
      <c r="C3" t="s">
        <v>67</v>
      </c>
      <c r="D3" t="s">
        <v>73</v>
      </c>
    </row>
    <row r="4" spans="1:9">
      <c r="A4" t="s">
        <v>55</v>
      </c>
      <c r="B4" t="s">
        <v>51</v>
      </c>
      <c r="C4" t="s">
        <v>48</v>
      </c>
      <c r="D4" t="s">
        <v>73</v>
      </c>
      <c r="I4" t="str">
        <f>VLOOKUP("MattO",LogInInfo,2,FALSE )</f>
        <v>ooo</v>
      </c>
    </row>
    <row r="5" spans="1:9">
      <c r="A5" t="s">
        <v>54</v>
      </c>
      <c r="B5" t="s">
        <v>52</v>
      </c>
      <c r="C5" t="s">
        <v>49</v>
      </c>
      <c r="D5" t="s">
        <v>73</v>
      </c>
    </row>
    <row r="6" spans="1:9">
      <c r="A6" t="s">
        <v>57</v>
      </c>
      <c r="B6" t="s">
        <v>61</v>
      </c>
      <c r="C6" t="s">
        <v>68</v>
      </c>
      <c r="D6" t="s">
        <v>6</v>
      </c>
    </row>
    <row r="7" spans="1:9">
      <c r="A7" t="s">
        <v>58</v>
      </c>
      <c r="B7" t="s">
        <v>62</v>
      </c>
      <c r="C7" t="s">
        <v>69</v>
      </c>
      <c r="D7" t="s">
        <v>6</v>
      </c>
    </row>
    <row r="8" spans="1:9">
      <c r="A8" t="s">
        <v>59</v>
      </c>
      <c r="B8" t="s">
        <v>63</v>
      </c>
      <c r="C8" t="s">
        <v>70</v>
      </c>
      <c r="D8" t="s">
        <v>6</v>
      </c>
    </row>
    <row r="9" spans="1:9">
      <c r="A9" t="s">
        <v>60</v>
      </c>
      <c r="B9" t="s">
        <v>64</v>
      </c>
      <c r="C9" t="s">
        <v>71</v>
      </c>
      <c r="D9" t="s">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6ED1-7E68-483C-8565-A703FF13D11C}">
  <sheetPr codeName="Sheet15"/>
  <dimension ref="A2:O171"/>
  <sheetViews>
    <sheetView zoomScale="63" zoomScaleNormal="100" workbookViewId="0">
      <selection activeCell="I11" sqref="I11"/>
    </sheetView>
  </sheetViews>
  <sheetFormatPr defaultRowHeight="15"/>
  <cols>
    <col min="1" max="1" width="14.85546875" customWidth="1"/>
    <col min="2" max="2" width="18.42578125" customWidth="1"/>
    <col min="3" max="3" width="21.7109375" bestFit="1" customWidth="1"/>
    <col min="4" max="4" width="15.5703125" bestFit="1" customWidth="1"/>
    <col min="5" max="5" width="19.85546875" bestFit="1" customWidth="1"/>
    <col min="6" max="6" width="25.7109375" bestFit="1" customWidth="1"/>
    <col min="7" max="7" width="28.42578125" customWidth="1"/>
    <col min="8" max="8" width="22.140625" customWidth="1"/>
    <col min="9" max="9" width="23.28515625" customWidth="1"/>
    <col min="10" max="10" width="24.5703125" bestFit="1" customWidth="1"/>
    <col min="11" max="11" width="26.28515625" bestFit="1" customWidth="1"/>
    <col min="12" max="12" width="35" bestFit="1" customWidth="1"/>
    <col min="13" max="13" width="31" bestFit="1" customWidth="1"/>
    <col min="14" max="14" width="29.140625" bestFit="1" customWidth="1"/>
    <col min="15" max="15" width="26" bestFit="1" customWidth="1"/>
  </cols>
  <sheetData>
    <row r="2" spans="1:15" ht="15.75" thickBot="1">
      <c r="I2" s="71" t="s">
        <v>82</v>
      </c>
      <c r="J2" s="78" t="s">
        <v>2</v>
      </c>
      <c r="K2" t="s">
        <v>83</v>
      </c>
    </row>
    <row r="3" spans="1:15" ht="15.75" thickBot="1">
      <c r="D3" s="59"/>
      <c r="E3" s="60" t="s">
        <v>1</v>
      </c>
      <c r="F3" s="61"/>
      <c r="G3" s="62"/>
    </row>
    <row r="4" spans="1:15">
      <c r="B4" s="8" t="s">
        <v>2</v>
      </c>
      <c r="C4" s="63" t="s">
        <v>0</v>
      </c>
      <c r="D4" s="64" t="s">
        <v>7</v>
      </c>
      <c r="E4" s="64" t="s">
        <v>8</v>
      </c>
      <c r="F4" s="64" t="s">
        <v>9</v>
      </c>
      <c r="G4" s="63" t="s">
        <v>32</v>
      </c>
      <c r="H4" s="9" t="s">
        <v>5</v>
      </c>
      <c r="J4" t="s">
        <v>84</v>
      </c>
      <c r="K4" t="s">
        <v>85</v>
      </c>
      <c r="L4" t="s">
        <v>86</v>
      </c>
      <c r="M4" t="s">
        <v>87</v>
      </c>
      <c r="N4" t="s">
        <v>88</v>
      </c>
      <c r="O4" t="s">
        <v>89</v>
      </c>
    </row>
    <row r="5" spans="1:15" ht="15.75">
      <c r="A5" s="65" t="s">
        <v>3</v>
      </c>
      <c r="B5" s="6">
        <f t="shared" ref="B5:B11" si="0">B6-1</f>
        <v>2011</v>
      </c>
      <c r="C5" s="17">
        <v>70843</v>
      </c>
      <c r="D5" s="17">
        <v>33441</v>
      </c>
      <c r="E5" s="17">
        <v>7732</v>
      </c>
      <c r="F5" s="17">
        <v>5275</v>
      </c>
      <c r="G5" s="17">
        <f>SUM(D5:F5)</f>
        <v>46448</v>
      </c>
      <c r="H5" s="17">
        <f t="shared" ref="H5:H25" si="1">C5-SUM(D5:F5)</f>
        <v>24395</v>
      </c>
      <c r="J5" s="79">
        <v>319791</v>
      </c>
      <c r="K5" s="79">
        <v>77315</v>
      </c>
      <c r="L5" s="79">
        <v>50682</v>
      </c>
      <c r="M5" s="79">
        <v>795514</v>
      </c>
      <c r="N5" s="79">
        <v>447788</v>
      </c>
      <c r="O5" s="79">
        <v>347726</v>
      </c>
    </row>
    <row r="6" spans="1:15" ht="15.75">
      <c r="A6" s="66"/>
      <c r="B6" s="6">
        <f t="shared" si="0"/>
        <v>2012</v>
      </c>
      <c r="C6" s="17">
        <v>87858</v>
      </c>
      <c r="D6" s="17">
        <v>31860</v>
      </c>
      <c r="E6" s="17">
        <v>8683</v>
      </c>
      <c r="F6" s="17">
        <v>7369</v>
      </c>
      <c r="G6" s="17">
        <f>SUM(D6:F6)</f>
        <v>47912</v>
      </c>
      <c r="H6" s="17">
        <f t="shared" si="1"/>
        <v>39946</v>
      </c>
    </row>
    <row r="7" spans="1:15" ht="15.75">
      <c r="A7" s="66"/>
      <c r="B7" s="6">
        <f t="shared" si="0"/>
        <v>2013</v>
      </c>
      <c r="C7" s="17">
        <v>93759</v>
      </c>
      <c r="D7" s="17">
        <v>38325</v>
      </c>
      <c r="E7" s="17">
        <v>8188</v>
      </c>
      <c r="F7" s="17">
        <v>4246</v>
      </c>
      <c r="G7" s="17">
        <f t="shared" ref="G7:G25" si="2">SUM(D7:F7)</f>
        <v>50759</v>
      </c>
      <c r="H7" s="17">
        <f t="shared" si="1"/>
        <v>43000</v>
      </c>
      <c r="I7" s="71" t="s">
        <v>90</v>
      </c>
      <c r="J7" s="78" t="s">
        <v>2</v>
      </c>
      <c r="K7" t="s">
        <v>83</v>
      </c>
    </row>
    <row r="8" spans="1:15" ht="15.75">
      <c r="A8" s="66"/>
      <c r="B8" s="6">
        <f t="shared" si="0"/>
        <v>2014</v>
      </c>
      <c r="C8" s="17">
        <v>78612</v>
      </c>
      <c r="D8" s="17">
        <v>31067</v>
      </c>
      <c r="E8" s="17">
        <v>8436</v>
      </c>
      <c r="F8" s="17">
        <v>5779</v>
      </c>
      <c r="G8" s="17">
        <f t="shared" si="2"/>
        <v>45282</v>
      </c>
      <c r="H8" s="17">
        <f t="shared" si="1"/>
        <v>33330</v>
      </c>
    </row>
    <row r="9" spans="1:15" ht="15.75">
      <c r="A9" s="66"/>
      <c r="B9" s="6">
        <f t="shared" si="0"/>
        <v>2015</v>
      </c>
      <c r="C9" s="17">
        <v>81687</v>
      </c>
      <c r="D9" s="17">
        <v>32870</v>
      </c>
      <c r="E9" s="17">
        <v>7782</v>
      </c>
      <c r="F9" s="17">
        <v>4424</v>
      </c>
      <c r="G9" s="17">
        <f t="shared" si="2"/>
        <v>45076</v>
      </c>
      <c r="H9" s="17">
        <f t="shared" si="1"/>
        <v>36611</v>
      </c>
      <c r="J9" t="s">
        <v>84</v>
      </c>
      <c r="K9" t="s">
        <v>85</v>
      </c>
      <c r="L9" t="s">
        <v>86</v>
      </c>
      <c r="M9" t="s">
        <v>87</v>
      </c>
      <c r="N9" t="s">
        <v>88</v>
      </c>
      <c r="O9" t="s">
        <v>89</v>
      </c>
    </row>
    <row r="10" spans="1:15" ht="15.75">
      <c r="A10" s="66"/>
      <c r="B10" s="6">
        <f t="shared" si="0"/>
        <v>2016</v>
      </c>
      <c r="C10" s="17">
        <v>65578</v>
      </c>
      <c r="D10" s="17">
        <v>25645</v>
      </c>
      <c r="E10" s="17">
        <v>6791</v>
      </c>
      <c r="F10" s="17">
        <v>5373</v>
      </c>
      <c r="G10" s="17">
        <f>SUM(D10:F10)</f>
        <v>37809</v>
      </c>
      <c r="H10" s="17">
        <f t="shared" si="1"/>
        <v>27769</v>
      </c>
      <c r="J10" s="79">
        <v>374383</v>
      </c>
      <c r="K10" s="79">
        <v>61037</v>
      </c>
      <c r="L10" s="79">
        <v>41572</v>
      </c>
      <c r="M10" s="79">
        <v>1129444</v>
      </c>
      <c r="N10" s="79">
        <v>476992</v>
      </c>
      <c r="O10" s="79">
        <v>652452</v>
      </c>
    </row>
    <row r="11" spans="1:15" ht="15.75">
      <c r="A11" s="66"/>
      <c r="B11" s="6">
        <f t="shared" si="0"/>
        <v>2017</v>
      </c>
      <c r="C11" s="17">
        <v>89744</v>
      </c>
      <c r="D11" s="17">
        <v>35190</v>
      </c>
      <c r="E11" s="17">
        <v>7585</v>
      </c>
      <c r="F11" s="17">
        <v>6327</v>
      </c>
      <c r="G11" s="17">
        <f>SUM(D11:F11)</f>
        <v>49102</v>
      </c>
      <c r="H11" s="17">
        <f t="shared" si="1"/>
        <v>40642</v>
      </c>
    </row>
    <row r="12" spans="1:15" ht="15.75">
      <c r="A12" s="66"/>
      <c r="B12" s="6">
        <f>B13-1</f>
        <v>2018</v>
      </c>
      <c r="C12" s="17">
        <v>74268</v>
      </c>
      <c r="D12" s="17">
        <v>27552</v>
      </c>
      <c r="E12" s="17">
        <v>9093</v>
      </c>
      <c r="F12" s="17">
        <v>3877</v>
      </c>
      <c r="G12" s="17">
        <f t="shared" si="2"/>
        <v>40522</v>
      </c>
      <c r="H12" s="17">
        <f t="shared" si="1"/>
        <v>33746</v>
      </c>
    </row>
    <row r="13" spans="1:15" ht="15.75">
      <c r="A13" s="66"/>
      <c r="B13" s="6">
        <v>2019</v>
      </c>
      <c r="C13" s="17">
        <v>68740</v>
      </c>
      <c r="D13" s="17">
        <v>28877</v>
      </c>
      <c r="E13" s="17">
        <v>5792</v>
      </c>
      <c r="F13" s="17">
        <v>4749</v>
      </c>
      <c r="G13" s="17">
        <f t="shared" si="2"/>
        <v>39418</v>
      </c>
      <c r="H13" s="17">
        <f t="shared" si="1"/>
        <v>29322</v>
      </c>
    </row>
    <row r="14" spans="1:15" ht="15.75">
      <c r="A14" s="66"/>
      <c r="B14" s="6">
        <v>2020</v>
      </c>
      <c r="C14" s="17">
        <v>84425</v>
      </c>
      <c r="D14" s="17">
        <v>34964</v>
      </c>
      <c r="E14" s="17">
        <v>7233</v>
      </c>
      <c r="F14" s="17">
        <v>3263</v>
      </c>
      <c r="G14" s="17">
        <f t="shared" si="2"/>
        <v>45460</v>
      </c>
      <c r="H14" s="17">
        <f t="shared" si="1"/>
        <v>38965</v>
      </c>
    </row>
    <row r="15" spans="1:15" ht="15.75">
      <c r="A15" s="66"/>
      <c r="B15" s="72" t="s">
        <v>2</v>
      </c>
      <c r="C15" s="63" t="s">
        <v>0</v>
      </c>
      <c r="D15" s="64" t="s">
        <v>7</v>
      </c>
      <c r="E15" s="64" t="s">
        <v>8</v>
      </c>
      <c r="F15" s="64" t="s">
        <v>9</v>
      </c>
      <c r="G15" s="63" t="s">
        <v>32</v>
      </c>
      <c r="H15" s="73" t="s">
        <v>5</v>
      </c>
    </row>
    <row r="16" spans="1:15">
      <c r="A16" s="67" t="s">
        <v>4</v>
      </c>
      <c r="B16" s="16">
        <f>B5</f>
        <v>2011</v>
      </c>
      <c r="C16" s="14">
        <v>110343</v>
      </c>
      <c r="D16" s="14">
        <v>35568</v>
      </c>
      <c r="E16" s="14">
        <v>3658</v>
      </c>
      <c r="F16" s="14">
        <v>3404</v>
      </c>
      <c r="G16" s="14">
        <f t="shared" si="2"/>
        <v>42630</v>
      </c>
      <c r="H16" s="14">
        <f t="shared" si="1"/>
        <v>67713</v>
      </c>
    </row>
    <row r="17" spans="1:9">
      <c r="A17" s="1"/>
      <c r="B17" s="16">
        <f t="shared" ref="B17:B25" si="3">B16+1</f>
        <v>2012</v>
      </c>
      <c r="C17" s="14">
        <v>116000</v>
      </c>
      <c r="D17" s="14">
        <v>41549</v>
      </c>
      <c r="E17" s="14">
        <v>5053</v>
      </c>
      <c r="F17" s="14">
        <v>5344</v>
      </c>
      <c r="G17" s="14">
        <f t="shared" si="2"/>
        <v>51946</v>
      </c>
      <c r="H17" s="14">
        <f t="shared" si="1"/>
        <v>64054</v>
      </c>
    </row>
    <row r="18" spans="1:9">
      <c r="A18" s="1"/>
      <c r="B18" s="16">
        <f t="shared" si="3"/>
        <v>2013</v>
      </c>
      <c r="C18" s="14">
        <v>100000</v>
      </c>
      <c r="D18" s="14">
        <v>32010</v>
      </c>
      <c r="E18" s="14">
        <v>3993</v>
      </c>
      <c r="F18" s="14">
        <v>3671</v>
      </c>
      <c r="G18" s="14">
        <f t="shared" si="2"/>
        <v>39674</v>
      </c>
      <c r="H18" s="14">
        <f t="shared" si="1"/>
        <v>60326</v>
      </c>
    </row>
    <row r="19" spans="1:9">
      <c r="A19" s="1"/>
      <c r="B19" s="16">
        <f t="shared" si="3"/>
        <v>2014</v>
      </c>
      <c r="C19" s="14">
        <v>112000</v>
      </c>
      <c r="D19" s="14">
        <v>41991</v>
      </c>
      <c r="E19" s="14">
        <v>4091</v>
      </c>
      <c r="F19" s="14">
        <v>4366</v>
      </c>
      <c r="G19" s="14">
        <f t="shared" si="2"/>
        <v>50448</v>
      </c>
      <c r="H19" s="14">
        <f t="shared" si="1"/>
        <v>61552</v>
      </c>
    </row>
    <row r="20" spans="1:9">
      <c r="A20" s="1"/>
      <c r="B20" s="16">
        <f t="shared" si="3"/>
        <v>2015</v>
      </c>
      <c r="C20" s="14">
        <v>115000</v>
      </c>
      <c r="D20" s="14">
        <v>30951</v>
      </c>
      <c r="E20" s="14">
        <v>9067</v>
      </c>
      <c r="F20" s="14">
        <v>4873</v>
      </c>
      <c r="G20" s="14">
        <f t="shared" si="2"/>
        <v>44891</v>
      </c>
      <c r="H20" s="14">
        <f t="shared" si="1"/>
        <v>70109</v>
      </c>
    </row>
    <row r="21" spans="1:9">
      <c r="A21" s="1"/>
      <c r="B21" s="16">
        <f t="shared" si="3"/>
        <v>2016</v>
      </c>
      <c r="C21" s="14">
        <v>115038</v>
      </c>
      <c r="D21" s="14">
        <v>35809</v>
      </c>
      <c r="E21" s="14">
        <v>9520</v>
      </c>
      <c r="F21" s="14">
        <v>5804</v>
      </c>
      <c r="G21" s="14">
        <f t="shared" si="2"/>
        <v>51133</v>
      </c>
      <c r="H21" s="14">
        <f t="shared" si="1"/>
        <v>63905</v>
      </c>
    </row>
    <row r="22" spans="1:9">
      <c r="A22" s="1"/>
      <c r="B22" s="16">
        <f t="shared" si="3"/>
        <v>2017</v>
      </c>
      <c r="C22" s="14">
        <v>119594</v>
      </c>
      <c r="D22" s="14">
        <v>39947</v>
      </c>
      <c r="E22" s="14">
        <v>5959</v>
      </c>
      <c r="F22" s="14">
        <v>4340</v>
      </c>
      <c r="G22" s="14">
        <f t="shared" si="2"/>
        <v>50246</v>
      </c>
      <c r="H22" s="14">
        <f t="shared" si="1"/>
        <v>69348</v>
      </c>
    </row>
    <row r="23" spans="1:9">
      <c r="A23" s="1"/>
      <c r="B23" s="16">
        <f t="shared" si="3"/>
        <v>2018</v>
      </c>
      <c r="C23" s="14">
        <v>120000</v>
      </c>
      <c r="D23" s="14">
        <v>41138</v>
      </c>
      <c r="E23" s="14">
        <v>8466</v>
      </c>
      <c r="F23" s="14">
        <v>2093</v>
      </c>
      <c r="G23" s="14">
        <f t="shared" si="2"/>
        <v>51697</v>
      </c>
      <c r="H23" s="14">
        <f t="shared" si="1"/>
        <v>68303</v>
      </c>
    </row>
    <row r="24" spans="1:9">
      <c r="A24" s="1"/>
      <c r="B24" s="16">
        <f t="shared" si="3"/>
        <v>2019</v>
      </c>
      <c r="C24" s="14">
        <v>99469</v>
      </c>
      <c r="D24" s="14">
        <v>34031</v>
      </c>
      <c r="E24" s="14">
        <v>2538</v>
      </c>
      <c r="F24" s="14">
        <v>2985</v>
      </c>
      <c r="G24" s="14">
        <f t="shared" si="2"/>
        <v>39554</v>
      </c>
      <c r="H24" s="14">
        <f>C24-SUM(D24:F24)</f>
        <v>59915</v>
      </c>
    </row>
    <row r="25" spans="1:9">
      <c r="A25" s="1"/>
      <c r="B25" s="74">
        <f t="shared" si="3"/>
        <v>2020</v>
      </c>
      <c r="C25" s="75">
        <v>122000</v>
      </c>
      <c r="D25" s="75">
        <v>41389</v>
      </c>
      <c r="E25" s="75">
        <v>8692</v>
      </c>
      <c r="F25" s="75">
        <v>4692</v>
      </c>
      <c r="G25" s="75">
        <f t="shared" si="2"/>
        <v>54773</v>
      </c>
      <c r="H25" s="75">
        <f t="shared" si="1"/>
        <v>67227</v>
      </c>
    </row>
    <row r="28" spans="1:9">
      <c r="D28" s="1"/>
      <c r="E28" s="1"/>
      <c r="F28" s="1"/>
      <c r="G28" s="1"/>
      <c r="H28" s="1"/>
      <c r="I28" s="1"/>
    </row>
    <row r="43" spans="1:8">
      <c r="D43" s="1"/>
      <c r="E43" s="1"/>
      <c r="F43" s="1"/>
      <c r="G43" s="1"/>
      <c r="H43" s="1"/>
    </row>
    <row r="44" spans="1:8">
      <c r="D44" s="1"/>
    </row>
    <row r="45" spans="1:8">
      <c r="D45" s="1"/>
    </row>
    <row r="46" spans="1:8">
      <c r="D46" s="1"/>
    </row>
    <row r="48" spans="1:8" ht="18.75">
      <c r="A48" s="69"/>
      <c r="B48" s="69"/>
      <c r="C48" s="69"/>
    </row>
    <row r="49" spans="1:10">
      <c r="A49" s="62"/>
      <c r="B49" s="62"/>
      <c r="C49" s="62"/>
      <c r="D49" s="1"/>
      <c r="E49" s="1"/>
      <c r="F49" s="1"/>
      <c r="G49" s="1"/>
      <c r="H49" s="1"/>
      <c r="I49" s="1"/>
      <c r="J49" s="1"/>
    </row>
    <row r="50" spans="1:10">
      <c r="A50" s="76"/>
      <c r="B50" s="7"/>
      <c r="C50" s="77"/>
      <c r="F50" s="30"/>
      <c r="G50" s="30"/>
    </row>
    <row r="51" spans="1:10">
      <c r="A51" s="76"/>
      <c r="B51" s="7"/>
      <c r="C51" s="77"/>
      <c r="F51" s="30"/>
      <c r="G51" s="30"/>
    </row>
    <row r="52" spans="1:10">
      <c r="A52" s="76"/>
      <c r="B52" s="7"/>
      <c r="C52" s="77"/>
      <c r="F52" s="30"/>
      <c r="G52" s="30"/>
    </row>
    <row r="53" spans="1:10">
      <c r="A53" s="76"/>
      <c r="B53" s="7"/>
      <c r="C53" s="77"/>
      <c r="F53" s="30"/>
      <c r="G53" s="30"/>
    </row>
    <row r="54" spans="1:10">
      <c r="A54" s="76"/>
      <c r="B54" s="7"/>
      <c r="C54" s="77"/>
      <c r="F54" s="30"/>
      <c r="G54" s="30"/>
    </row>
    <row r="55" spans="1:10">
      <c r="A55" s="76"/>
      <c r="B55" s="7"/>
      <c r="C55" s="77"/>
      <c r="F55" s="30"/>
      <c r="G55" s="30"/>
    </row>
    <row r="56" spans="1:10">
      <c r="A56" s="76"/>
      <c r="B56" s="7"/>
      <c r="C56" s="77"/>
      <c r="F56" s="30"/>
      <c r="G56" s="30"/>
    </row>
    <row r="57" spans="1:10">
      <c r="A57" s="76"/>
      <c r="B57" s="7"/>
      <c r="C57" s="77"/>
      <c r="F57" s="30"/>
      <c r="G57" s="30"/>
    </row>
    <row r="58" spans="1:10">
      <c r="A58" s="76"/>
      <c r="B58" s="7"/>
      <c r="C58" s="77"/>
      <c r="F58" s="30"/>
      <c r="G58" s="30"/>
    </row>
    <row r="59" spans="1:10">
      <c r="A59" s="76"/>
      <c r="B59" s="7"/>
      <c r="C59" s="77"/>
      <c r="F59" s="30"/>
      <c r="G59" s="30"/>
    </row>
    <row r="64" spans="1:10">
      <c r="D64" s="1"/>
      <c r="E64" s="1"/>
      <c r="F64" s="1"/>
      <c r="G64" s="1"/>
      <c r="H64" s="1"/>
    </row>
    <row r="65" spans="1:10">
      <c r="D65" s="1"/>
    </row>
    <row r="66" spans="1:10">
      <c r="D66" s="1"/>
    </row>
    <row r="67" spans="1:10">
      <c r="D67" s="1"/>
    </row>
    <row r="73" spans="1:10" ht="18.75">
      <c r="A73" s="69"/>
      <c r="B73" s="69"/>
      <c r="C73" s="69"/>
    </row>
    <row r="74" spans="1:10">
      <c r="A74" s="62"/>
      <c r="B74" s="62"/>
      <c r="C74" s="62"/>
      <c r="D74" s="1"/>
      <c r="E74" s="1"/>
      <c r="F74" s="1"/>
      <c r="G74" s="1"/>
      <c r="H74" s="1"/>
      <c r="I74" s="1"/>
      <c r="J74" s="1"/>
    </row>
    <row r="75" spans="1:10">
      <c r="A75" s="76"/>
      <c r="B75" s="7"/>
      <c r="C75" s="77"/>
      <c r="G75" s="30"/>
    </row>
    <row r="76" spans="1:10">
      <c r="A76" s="76"/>
      <c r="B76" s="7"/>
      <c r="C76" s="77"/>
      <c r="G76" s="30"/>
    </row>
    <row r="77" spans="1:10">
      <c r="A77" s="76"/>
      <c r="B77" s="7"/>
      <c r="C77" s="77"/>
      <c r="G77" s="30"/>
    </row>
    <row r="78" spans="1:10">
      <c r="A78" s="76"/>
      <c r="B78" s="7"/>
      <c r="C78" s="77"/>
      <c r="G78" s="30"/>
    </row>
    <row r="79" spans="1:10">
      <c r="A79" s="76"/>
      <c r="B79" s="7"/>
      <c r="C79" s="77"/>
      <c r="G79" s="30"/>
    </row>
    <row r="80" spans="1:10">
      <c r="A80" s="76"/>
      <c r="B80" s="7"/>
      <c r="C80" s="77"/>
      <c r="G80" s="30"/>
    </row>
    <row r="81" spans="1:10">
      <c r="A81" s="76"/>
      <c r="B81" s="7"/>
      <c r="C81" s="77"/>
      <c r="G81" s="30"/>
    </row>
    <row r="82" spans="1:10">
      <c r="A82" s="76"/>
      <c r="B82" s="7"/>
      <c r="C82" s="77"/>
      <c r="G82" s="30"/>
    </row>
    <row r="83" spans="1:10">
      <c r="A83" s="76"/>
      <c r="B83" s="7"/>
      <c r="C83" s="77"/>
      <c r="G83" s="30"/>
    </row>
    <row r="84" spans="1:10">
      <c r="A84" s="76"/>
      <c r="B84" s="7"/>
      <c r="C84" s="77"/>
      <c r="G84" s="30"/>
    </row>
    <row r="89" spans="1:10">
      <c r="D89" s="1"/>
      <c r="E89" s="1"/>
      <c r="F89" s="1"/>
      <c r="G89" s="1"/>
      <c r="H89" s="1"/>
    </row>
    <row r="90" spans="1:10">
      <c r="D90" s="1"/>
    </row>
    <row r="91" spans="1:10">
      <c r="D91" s="1"/>
    </row>
    <row r="92" spans="1:10">
      <c r="D92" s="1"/>
    </row>
    <row r="94" spans="1:10" ht="18.75">
      <c r="A94" s="69"/>
      <c r="B94" s="69"/>
      <c r="C94" s="69"/>
    </row>
    <row r="95" spans="1:10">
      <c r="A95" s="62"/>
      <c r="B95" s="62"/>
      <c r="C95" s="62"/>
      <c r="D95" s="1"/>
      <c r="E95" s="1"/>
      <c r="F95" s="1"/>
      <c r="G95" s="1"/>
      <c r="H95" s="1"/>
      <c r="I95" s="1"/>
      <c r="J95" s="1"/>
    </row>
    <row r="96" spans="1:10">
      <c r="A96" s="76"/>
      <c r="B96" s="7"/>
      <c r="C96" s="77"/>
      <c r="G96" s="30"/>
    </row>
    <row r="97" spans="1:8">
      <c r="A97" s="76"/>
      <c r="B97" s="7"/>
      <c r="C97" s="77"/>
      <c r="G97" s="30"/>
    </row>
    <row r="98" spans="1:8">
      <c r="A98" s="76"/>
      <c r="B98" s="7"/>
      <c r="C98" s="77"/>
      <c r="G98" s="30"/>
    </row>
    <row r="99" spans="1:8">
      <c r="A99" s="76"/>
      <c r="B99" s="7"/>
      <c r="C99" s="77"/>
      <c r="G99" s="30"/>
    </row>
    <row r="100" spans="1:8">
      <c r="A100" s="76"/>
      <c r="B100" s="7"/>
      <c r="C100" s="77"/>
      <c r="G100" s="30"/>
    </row>
    <row r="101" spans="1:8">
      <c r="A101" s="76"/>
      <c r="B101" s="7"/>
      <c r="C101" s="77"/>
      <c r="G101" s="30"/>
    </row>
    <row r="102" spans="1:8">
      <c r="A102" s="76"/>
      <c r="B102" s="7"/>
      <c r="C102" s="77"/>
      <c r="G102" s="30"/>
    </row>
    <row r="103" spans="1:8">
      <c r="A103" s="76"/>
      <c r="B103" s="7"/>
      <c r="C103" s="77"/>
      <c r="G103" s="30"/>
    </row>
    <row r="104" spans="1:8">
      <c r="A104" s="76"/>
      <c r="B104" s="7"/>
      <c r="C104" s="77"/>
      <c r="G104" s="30"/>
    </row>
    <row r="105" spans="1:8">
      <c r="A105" s="76"/>
      <c r="B105" s="7"/>
      <c r="C105" s="77"/>
      <c r="G105" s="30"/>
    </row>
    <row r="110" spans="1:8">
      <c r="D110" s="1"/>
      <c r="E110" s="1"/>
      <c r="F110" s="1"/>
      <c r="G110" s="1"/>
      <c r="H110" s="1"/>
    </row>
    <row r="111" spans="1:8">
      <c r="D111" s="1"/>
    </row>
    <row r="112" spans="1:8">
      <c r="D112" s="1"/>
    </row>
    <row r="113" spans="1:10">
      <c r="D113" s="1"/>
    </row>
    <row r="117" spans="1:10" ht="18.75">
      <c r="A117" s="69"/>
      <c r="B117" s="69"/>
      <c r="C117" s="69"/>
    </row>
    <row r="118" spans="1:10">
      <c r="A118" s="62"/>
      <c r="B118" s="62"/>
      <c r="C118" s="62"/>
      <c r="D118" s="1"/>
      <c r="E118" s="1"/>
      <c r="F118" s="1"/>
      <c r="G118" s="1"/>
      <c r="H118" s="1"/>
      <c r="I118" s="1"/>
      <c r="J118" s="1"/>
    </row>
    <row r="119" spans="1:10">
      <c r="A119" s="76"/>
      <c r="B119" s="7"/>
      <c r="C119" s="77"/>
      <c r="G119" s="30"/>
    </row>
    <row r="120" spans="1:10">
      <c r="A120" s="76"/>
      <c r="B120" s="7"/>
      <c r="C120" s="77"/>
      <c r="G120" s="30"/>
    </row>
    <row r="121" spans="1:10">
      <c r="A121" s="76"/>
      <c r="B121" s="7"/>
      <c r="C121" s="77"/>
      <c r="G121" s="30"/>
    </row>
    <row r="122" spans="1:10">
      <c r="A122" s="76"/>
      <c r="B122" s="7"/>
      <c r="C122" s="77"/>
      <c r="G122" s="30"/>
    </row>
    <row r="123" spans="1:10">
      <c r="A123" s="76"/>
      <c r="B123" s="7"/>
      <c r="C123" s="77"/>
      <c r="G123" s="30"/>
    </row>
    <row r="124" spans="1:10">
      <c r="A124" s="76"/>
      <c r="B124" s="7"/>
      <c r="C124" s="77"/>
      <c r="G124" s="30"/>
    </row>
    <row r="125" spans="1:10">
      <c r="A125" s="76"/>
      <c r="B125" s="7"/>
      <c r="C125" s="77"/>
      <c r="G125" s="30"/>
    </row>
    <row r="126" spans="1:10">
      <c r="A126" s="76"/>
      <c r="B126" s="7"/>
      <c r="C126" s="77"/>
      <c r="G126" s="30"/>
    </row>
    <row r="127" spans="1:10">
      <c r="A127" s="76"/>
      <c r="B127" s="7"/>
      <c r="C127" s="77"/>
      <c r="G127" s="30"/>
    </row>
    <row r="128" spans="1:10">
      <c r="A128" s="76"/>
      <c r="B128" s="7"/>
      <c r="C128" s="77"/>
      <c r="G128" s="30"/>
    </row>
    <row r="130" spans="1:10">
      <c r="D130" s="1"/>
    </row>
    <row r="133" spans="1:10">
      <c r="D133" s="1"/>
      <c r="E133" s="1"/>
      <c r="F133" s="1"/>
      <c r="G133" s="1"/>
      <c r="H133" s="1"/>
    </row>
    <row r="134" spans="1:10">
      <c r="D134" s="1"/>
      <c r="H134" s="30"/>
    </row>
    <row r="135" spans="1:10">
      <c r="D135" s="1"/>
    </row>
    <row r="136" spans="1:10">
      <c r="D136" s="1"/>
    </row>
    <row r="138" spans="1:10" ht="18.75">
      <c r="A138" s="69"/>
      <c r="B138" s="69"/>
      <c r="C138" s="69"/>
    </row>
    <row r="139" spans="1:10">
      <c r="A139" s="62"/>
      <c r="B139" s="62"/>
      <c r="C139" s="62"/>
      <c r="D139" s="1"/>
      <c r="E139" s="1"/>
      <c r="F139" s="1"/>
      <c r="G139" s="1"/>
      <c r="H139" s="1"/>
      <c r="I139" s="1"/>
      <c r="J139" s="1"/>
    </row>
    <row r="140" spans="1:10">
      <c r="A140" s="76"/>
      <c r="B140" s="7"/>
      <c r="C140" s="77"/>
      <c r="G140" s="30"/>
    </row>
    <row r="141" spans="1:10">
      <c r="A141" s="76"/>
      <c r="B141" s="7"/>
      <c r="C141" s="77"/>
      <c r="G141" s="30"/>
    </row>
    <row r="142" spans="1:10">
      <c r="A142" s="76"/>
      <c r="B142" s="7"/>
      <c r="C142" s="77"/>
      <c r="G142" s="30"/>
    </row>
    <row r="143" spans="1:10">
      <c r="A143" s="76"/>
      <c r="B143" s="7"/>
      <c r="C143" s="77"/>
      <c r="G143" s="30"/>
    </row>
    <row r="144" spans="1:10">
      <c r="A144" s="76"/>
      <c r="B144" s="7"/>
      <c r="C144" s="77"/>
      <c r="G144" s="30"/>
    </row>
    <row r="145" spans="1:8">
      <c r="A145" s="76"/>
      <c r="B145" s="7"/>
      <c r="C145" s="77"/>
      <c r="G145" s="30"/>
    </row>
    <row r="146" spans="1:8">
      <c r="A146" s="76"/>
      <c r="B146" s="7"/>
      <c r="C146" s="77"/>
      <c r="G146" s="30"/>
    </row>
    <row r="147" spans="1:8">
      <c r="A147" s="76"/>
      <c r="B147" s="7"/>
      <c r="C147" s="77"/>
      <c r="G147" s="30"/>
    </row>
    <row r="148" spans="1:8">
      <c r="A148" s="76"/>
      <c r="B148" s="7"/>
      <c r="C148" s="77"/>
      <c r="G148" s="30"/>
    </row>
    <row r="149" spans="1:8">
      <c r="A149" s="76"/>
      <c r="B149" s="7"/>
      <c r="C149" s="77"/>
      <c r="G149" s="30"/>
    </row>
    <row r="154" spans="1:8">
      <c r="D154" s="1"/>
      <c r="E154" s="1"/>
      <c r="F154" s="1"/>
      <c r="G154" s="1"/>
      <c r="H154" s="1"/>
    </row>
    <row r="155" spans="1:8">
      <c r="D155" s="1"/>
    </row>
    <row r="156" spans="1:8" ht="18.75">
      <c r="A156" s="69"/>
      <c r="D156" s="1"/>
    </row>
    <row r="157" spans="1:8">
      <c r="D157" s="1"/>
    </row>
    <row r="159" spans="1:8">
      <c r="A159" s="1"/>
    </row>
    <row r="160" spans="1:8">
      <c r="G160" s="7"/>
    </row>
    <row r="161" spans="1:15">
      <c r="A161" s="1"/>
      <c r="B161" s="62"/>
      <c r="C161" s="62"/>
      <c r="D161" s="62"/>
      <c r="E161" s="62"/>
      <c r="F161" s="62"/>
      <c r="G161" s="62"/>
    </row>
    <row r="162" spans="1:15">
      <c r="B162" s="70"/>
      <c r="C162" s="70"/>
      <c r="D162" s="70"/>
      <c r="E162" s="70"/>
      <c r="F162" s="70"/>
      <c r="G162" s="70"/>
      <c r="J162" s="70"/>
      <c r="K162" s="70"/>
      <c r="L162" s="70"/>
      <c r="M162" s="70"/>
      <c r="N162" s="70"/>
      <c r="O162" s="70"/>
    </row>
    <row r="163" spans="1:15">
      <c r="B163" s="70"/>
      <c r="C163" s="70"/>
      <c r="D163" s="70"/>
      <c r="E163" s="70"/>
      <c r="F163" s="70"/>
      <c r="G163" s="70"/>
      <c r="J163" s="70"/>
      <c r="K163" s="70"/>
      <c r="L163" s="70"/>
      <c r="M163" s="70"/>
      <c r="N163" s="70"/>
      <c r="O163" s="70"/>
    </row>
    <row r="164" spans="1:15">
      <c r="B164" s="70"/>
      <c r="C164" s="70"/>
      <c r="D164" s="70"/>
      <c r="E164" s="70"/>
      <c r="F164" s="70"/>
      <c r="G164" s="70"/>
      <c r="J164" s="70"/>
      <c r="K164" s="70"/>
      <c r="L164" s="70"/>
      <c r="M164" s="70"/>
      <c r="N164" s="70"/>
      <c r="O164" s="70"/>
    </row>
    <row r="165" spans="1:15">
      <c r="B165" s="70"/>
      <c r="C165" s="70"/>
      <c r="D165" s="70"/>
      <c r="E165" s="70"/>
      <c r="F165" s="70"/>
      <c r="G165" s="70"/>
      <c r="J165" s="70"/>
      <c r="K165" s="70"/>
      <c r="L165" s="70"/>
      <c r="M165" s="70"/>
      <c r="N165" s="70"/>
      <c r="O165" s="70"/>
    </row>
    <row r="166" spans="1:15">
      <c r="B166" s="70"/>
      <c r="C166" s="70"/>
      <c r="D166" s="70"/>
      <c r="E166" s="70"/>
      <c r="F166" s="70"/>
      <c r="G166" s="70"/>
      <c r="J166" s="70"/>
      <c r="K166" s="70"/>
      <c r="L166" s="70"/>
      <c r="M166" s="70"/>
      <c r="N166" s="70"/>
      <c r="O166" s="70"/>
    </row>
    <row r="167" spans="1:15">
      <c r="B167" s="70"/>
      <c r="C167" s="70"/>
      <c r="D167" s="70"/>
      <c r="E167" s="70"/>
      <c r="F167" s="70"/>
      <c r="G167" s="70"/>
      <c r="J167" s="70"/>
      <c r="K167" s="70"/>
      <c r="L167" s="70"/>
      <c r="M167" s="70"/>
      <c r="N167" s="70"/>
      <c r="O167" s="70"/>
    </row>
    <row r="168" spans="1:15">
      <c r="B168" s="70"/>
      <c r="C168" s="70"/>
      <c r="D168" s="70"/>
      <c r="E168" s="70"/>
      <c r="F168" s="70"/>
      <c r="G168" s="70"/>
      <c r="J168" s="70"/>
      <c r="K168" s="70"/>
      <c r="L168" s="70"/>
      <c r="M168" s="70"/>
      <c r="N168" s="70"/>
      <c r="O168" s="70"/>
    </row>
    <row r="169" spans="1:15">
      <c r="B169" s="70"/>
      <c r="C169" s="70"/>
      <c r="D169" s="70"/>
      <c r="E169" s="70"/>
      <c r="F169" s="70"/>
      <c r="G169" s="70"/>
      <c r="J169" s="70"/>
      <c r="K169" s="70"/>
      <c r="L169" s="70"/>
      <c r="M169" s="70"/>
      <c r="N169" s="70"/>
      <c r="O169" s="70"/>
    </row>
    <row r="170" spans="1:15">
      <c r="B170" s="70"/>
      <c r="C170" s="70"/>
      <c r="D170" s="70"/>
      <c r="E170" s="70"/>
      <c r="F170" s="70"/>
      <c r="G170" s="70"/>
      <c r="J170" s="70"/>
      <c r="K170" s="70"/>
      <c r="L170" s="70"/>
      <c r="M170" s="70"/>
      <c r="N170" s="70"/>
      <c r="O170" s="70"/>
    </row>
    <row r="171" spans="1:15">
      <c r="B171" s="70"/>
      <c r="C171" s="70"/>
      <c r="D171" s="70"/>
      <c r="E171" s="70"/>
      <c r="F171" s="70"/>
      <c r="G171" s="70"/>
      <c r="J171" s="70"/>
      <c r="K171" s="70"/>
      <c r="L171" s="70"/>
      <c r="M171" s="70"/>
      <c r="N171" s="70"/>
      <c r="O171" s="70"/>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F0510-2014-47AD-9858-BB468814B38D}">
  <sheetPr codeName="Sheet16"/>
  <dimension ref="A1:AH169"/>
  <sheetViews>
    <sheetView zoomScale="85" zoomScaleNormal="85" workbookViewId="0">
      <selection activeCell="AF29" sqref="AF29"/>
    </sheetView>
  </sheetViews>
  <sheetFormatPr defaultRowHeight="15"/>
  <cols>
    <col min="1" max="1" width="14.85546875" customWidth="1"/>
    <col min="2" max="2" width="18.42578125" customWidth="1"/>
    <col min="3" max="3" width="17.85546875" customWidth="1"/>
    <col min="4" max="4" width="24" bestFit="1" customWidth="1"/>
    <col min="5" max="5" width="19.85546875" bestFit="1" customWidth="1"/>
    <col min="6" max="6" width="17.28515625" bestFit="1" customWidth="1"/>
    <col min="7" max="7" width="28.42578125" customWidth="1"/>
    <col min="8" max="8" width="22.140625" customWidth="1"/>
    <col min="9" max="9" width="23.28515625" customWidth="1"/>
    <col min="10" max="10" width="21.42578125" customWidth="1"/>
    <col min="11" max="11" width="10" bestFit="1" customWidth="1"/>
  </cols>
  <sheetData>
    <row r="1" spans="1:8" ht="15.75" thickBot="1"/>
    <row r="2" spans="1:8" ht="15.75" thickBot="1">
      <c r="D2" s="59"/>
      <c r="E2" s="60" t="s">
        <v>1</v>
      </c>
      <c r="F2" s="61"/>
      <c r="G2" s="62"/>
    </row>
    <row r="3" spans="1:8">
      <c r="B3" s="8" t="s">
        <v>2</v>
      </c>
      <c r="C3" s="63" t="s">
        <v>0</v>
      </c>
      <c r="D3" s="64" t="s">
        <v>7</v>
      </c>
      <c r="E3" s="64" t="s">
        <v>8</v>
      </c>
      <c r="F3" s="64" t="s">
        <v>9</v>
      </c>
      <c r="G3" s="63" t="s">
        <v>32</v>
      </c>
      <c r="H3" s="9" t="s">
        <v>5</v>
      </c>
    </row>
    <row r="4" spans="1:8" ht="15.75">
      <c r="A4" s="65" t="s">
        <v>3</v>
      </c>
      <c r="B4" s="6">
        <f>B5-1</f>
        <v>2011</v>
      </c>
      <c r="C4" s="17">
        <v>60000</v>
      </c>
      <c r="D4" s="17">
        <v>33441</v>
      </c>
      <c r="E4" s="17">
        <v>7732</v>
      </c>
      <c r="F4" s="17">
        <v>5275</v>
      </c>
      <c r="G4" s="17">
        <f>SUM(D4:F4)</f>
        <v>46448</v>
      </c>
      <c r="H4" s="17">
        <f t="shared" ref="H4:H23" si="0">C4-SUM(D4:F4)</f>
        <v>13552</v>
      </c>
    </row>
    <row r="5" spans="1:8" ht="15.75">
      <c r="A5" s="66"/>
      <c r="B5" s="6">
        <f t="shared" ref="B5:B10" si="1">B6-1</f>
        <v>2012</v>
      </c>
      <c r="C5" s="17">
        <v>87858</v>
      </c>
      <c r="D5" s="17">
        <v>31860</v>
      </c>
      <c r="E5" s="17">
        <v>8683</v>
      </c>
      <c r="F5" s="17">
        <v>7369</v>
      </c>
      <c r="G5" s="17">
        <f>SUM(D5:F5)</f>
        <v>47912</v>
      </c>
      <c r="H5" s="17">
        <f t="shared" si="0"/>
        <v>39946</v>
      </c>
    </row>
    <row r="6" spans="1:8" ht="15.75">
      <c r="A6" s="66"/>
      <c r="B6" s="6">
        <f t="shared" si="1"/>
        <v>2013</v>
      </c>
      <c r="C6" s="17">
        <v>93759</v>
      </c>
      <c r="D6" s="17">
        <v>38325</v>
      </c>
      <c r="E6" s="17">
        <v>8188</v>
      </c>
      <c r="F6" s="17">
        <v>4246</v>
      </c>
      <c r="G6" s="17">
        <f t="shared" ref="G6:G23" si="2">SUM(D6:F6)</f>
        <v>50759</v>
      </c>
      <c r="H6" s="17">
        <f t="shared" si="0"/>
        <v>43000</v>
      </c>
    </row>
    <row r="7" spans="1:8" ht="15.75">
      <c r="A7" s="66"/>
      <c r="B7" s="6">
        <f t="shared" si="1"/>
        <v>2014</v>
      </c>
      <c r="C7" s="17">
        <v>78612</v>
      </c>
      <c r="D7" s="17">
        <v>31067</v>
      </c>
      <c r="E7" s="17">
        <v>8436</v>
      </c>
      <c r="F7" s="17">
        <v>5779</v>
      </c>
      <c r="G7" s="17">
        <f t="shared" si="2"/>
        <v>45282</v>
      </c>
      <c r="H7" s="17">
        <f t="shared" si="0"/>
        <v>33330</v>
      </c>
    </row>
    <row r="8" spans="1:8" ht="15.75">
      <c r="A8" s="66"/>
      <c r="B8" s="6">
        <f t="shared" si="1"/>
        <v>2015</v>
      </c>
      <c r="C8" s="17">
        <v>81687</v>
      </c>
      <c r="D8" s="17">
        <v>32870</v>
      </c>
      <c r="E8" s="17">
        <v>7782</v>
      </c>
      <c r="F8" s="17">
        <v>4424</v>
      </c>
      <c r="G8" s="17">
        <f t="shared" si="2"/>
        <v>45076</v>
      </c>
      <c r="H8" s="17">
        <f t="shared" si="0"/>
        <v>36611</v>
      </c>
    </row>
    <row r="9" spans="1:8" ht="15.75">
      <c r="A9" s="66"/>
      <c r="B9" s="6">
        <f t="shared" si="1"/>
        <v>2016</v>
      </c>
      <c r="C9" s="17">
        <v>65578</v>
      </c>
      <c r="D9" s="17">
        <v>25645</v>
      </c>
      <c r="E9" s="17">
        <v>6791</v>
      </c>
      <c r="F9" s="17">
        <v>5373</v>
      </c>
      <c r="G9" s="17">
        <f>SUM(D9:F9)</f>
        <v>37809</v>
      </c>
      <c r="H9" s="17">
        <f t="shared" si="0"/>
        <v>27769</v>
      </c>
    </row>
    <row r="10" spans="1:8" ht="15.75">
      <c r="A10" s="66"/>
      <c r="B10" s="6">
        <f t="shared" si="1"/>
        <v>2017</v>
      </c>
      <c r="C10" s="17">
        <v>89744</v>
      </c>
      <c r="D10" s="17">
        <v>35190</v>
      </c>
      <c r="E10" s="17">
        <v>7585</v>
      </c>
      <c r="F10" s="17">
        <v>6327</v>
      </c>
      <c r="G10" s="17">
        <f>SUM(D10:F10)</f>
        <v>49102</v>
      </c>
      <c r="H10" s="17">
        <f t="shared" si="0"/>
        <v>40642</v>
      </c>
    </row>
    <row r="11" spans="1:8" ht="15.75">
      <c r="A11" s="66"/>
      <c r="B11" s="6">
        <f>B12-1</f>
        <v>2018</v>
      </c>
      <c r="C11" s="17">
        <v>74268</v>
      </c>
      <c r="D11" s="17">
        <v>27552</v>
      </c>
      <c r="E11" s="17">
        <v>9093</v>
      </c>
      <c r="F11" s="17">
        <v>3877</v>
      </c>
      <c r="G11" s="17">
        <f t="shared" si="2"/>
        <v>40522</v>
      </c>
      <c r="H11" s="17">
        <f t="shared" si="0"/>
        <v>33746</v>
      </c>
    </row>
    <row r="12" spans="1:8" ht="15.75">
      <c r="A12" s="66"/>
      <c r="B12" s="6">
        <v>2019</v>
      </c>
      <c r="C12" s="17">
        <v>68740</v>
      </c>
      <c r="D12" s="17">
        <v>28877</v>
      </c>
      <c r="E12" s="17">
        <v>5792</v>
      </c>
      <c r="F12" s="17">
        <v>4749</v>
      </c>
      <c r="G12" s="17">
        <f t="shared" si="2"/>
        <v>39418</v>
      </c>
      <c r="H12" s="17">
        <f t="shared" si="0"/>
        <v>29322</v>
      </c>
    </row>
    <row r="13" spans="1:8" ht="15.75">
      <c r="A13" s="66"/>
      <c r="B13" s="6">
        <v>2020</v>
      </c>
      <c r="C13" s="17">
        <v>84425</v>
      </c>
      <c r="D13" s="17">
        <v>34964</v>
      </c>
      <c r="E13" s="17">
        <v>7233</v>
      </c>
      <c r="F13" s="17">
        <v>3263</v>
      </c>
      <c r="G13" s="17">
        <f t="shared" si="2"/>
        <v>45460</v>
      </c>
      <c r="H13" s="17">
        <f t="shared" si="0"/>
        <v>38965</v>
      </c>
    </row>
    <row r="14" spans="1:8">
      <c r="A14" s="67" t="s">
        <v>4</v>
      </c>
      <c r="B14" s="16">
        <f>B4</f>
        <v>2011</v>
      </c>
      <c r="C14" s="14">
        <v>110343</v>
      </c>
      <c r="D14" s="14">
        <v>35568</v>
      </c>
      <c r="E14" s="14">
        <v>3658</v>
      </c>
      <c r="F14" s="14">
        <v>3404</v>
      </c>
      <c r="G14" s="14">
        <f t="shared" si="2"/>
        <v>42630</v>
      </c>
      <c r="H14" s="14">
        <f t="shared" si="0"/>
        <v>67713</v>
      </c>
    </row>
    <row r="15" spans="1:8">
      <c r="A15" s="1"/>
      <c r="B15" s="16">
        <f t="shared" ref="B15:B23" si="3">B14+1</f>
        <v>2012</v>
      </c>
      <c r="C15" s="14">
        <v>116000</v>
      </c>
      <c r="D15" s="14">
        <v>41549</v>
      </c>
      <c r="E15" s="14">
        <v>5053</v>
      </c>
      <c r="F15" s="14">
        <v>5344</v>
      </c>
      <c r="G15" s="14">
        <f t="shared" si="2"/>
        <v>51946</v>
      </c>
      <c r="H15" s="14">
        <f t="shared" si="0"/>
        <v>64054</v>
      </c>
    </row>
    <row r="16" spans="1:8">
      <c r="A16" s="1"/>
      <c r="B16" s="16">
        <f t="shared" si="3"/>
        <v>2013</v>
      </c>
      <c r="C16" s="14">
        <v>100000</v>
      </c>
      <c r="D16" s="14">
        <v>32010</v>
      </c>
      <c r="E16" s="14">
        <v>3993</v>
      </c>
      <c r="F16" s="14">
        <v>3671</v>
      </c>
      <c r="G16" s="14">
        <f t="shared" si="2"/>
        <v>39674</v>
      </c>
      <c r="H16" s="14">
        <f t="shared" si="0"/>
        <v>60326</v>
      </c>
    </row>
    <row r="17" spans="1:32">
      <c r="A17" s="1"/>
      <c r="B17" s="16">
        <f t="shared" si="3"/>
        <v>2014</v>
      </c>
      <c r="C17" s="14">
        <v>112000</v>
      </c>
      <c r="D17" s="14">
        <v>41991</v>
      </c>
      <c r="E17" s="14">
        <v>4091</v>
      </c>
      <c r="F17" s="14">
        <v>4366</v>
      </c>
      <c r="G17" s="14">
        <f t="shared" si="2"/>
        <v>50448</v>
      </c>
      <c r="H17" s="14">
        <f t="shared" si="0"/>
        <v>61552</v>
      </c>
    </row>
    <row r="18" spans="1:32">
      <c r="A18" s="1"/>
      <c r="B18" s="16">
        <f t="shared" si="3"/>
        <v>2015</v>
      </c>
      <c r="C18" s="14">
        <v>115000</v>
      </c>
      <c r="D18" s="14">
        <v>30951</v>
      </c>
      <c r="E18" s="14">
        <v>9067</v>
      </c>
      <c r="F18" s="14">
        <v>4873</v>
      </c>
      <c r="G18" s="14">
        <f t="shared" si="2"/>
        <v>44891</v>
      </c>
      <c r="H18" s="14">
        <f t="shared" si="0"/>
        <v>70109</v>
      </c>
    </row>
    <row r="19" spans="1:32">
      <c r="A19" s="1"/>
      <c r="B19" s="16">
        <f t="shared" si="3"/>
        <v>2016</v>
      </c>
      <c r="C19" s="14">
        <v>115038</v>
      </c>
      <c r="D19" s="14">
        <v>35809</v>
      </c>
      <c r="E19" s="14">
        <v>9520</v>
      </c>
      <c r="F19" s="14">
        <v>5804</v>
      </c>
      <c r="G19" s="14">
        <f t="shared" si="2"/>
        <v>51133</v>
      </c>
      <c r="H19" s="14">
        <f t="shared" si="0"/>
        <v>63905</v>
      </c>
    </row>
    <row r="20" spans="1:32">
      <c r="A20" s="1"/>
      <c r="B20" s="16">
        <f t="shared" si="3"/>
        <v>2017</v>
      </c>
      <c r="C20" s="14">
        <v>119594</v>
      </c>
      <c r="D20" s="14">
        <v>39947</v>
      </c>
      <c r="E20" s="14">
        <v>5959</v>
      </c>
      <c r="F20" s="14">
        <v>4340</v>
      </c>
      <c r="G20" s="14">
        <f t="shared" si="2"/>
        <v>50246</v>
      </c>
      <c r="H20" s="14">
        <f t="shared" si="0"/>
        <v>69348</v>
      </c>
    </row>
    <row r="21" spans="1:32">
      <c r="A21" s="1"/>
      <c r="B21" s="16">
        <f t="shared" si="3"/>
        <v>2018</v>
      </c>
      <c r="C21" s="14">
        <v>120000</v>
      </c>
      <c r="D21" s="14">
        <v>41138</v>
      </c>
      <c r="E21" s="14">
        <v>8466</v>
      </c>
      <c r="F21" s="14">
        <v>2093</v>
      </c>
      <c r="G21" s="14">
        <f t="shared" si="2"/>
        <v>51697</v>
      </c>
      <c r="H21" s="14">
        <f t="shared" si="0"/>
        <v>68303</v>
      </c>
    </row>
    <row r="22" spans="1:32">
      <c r="A22" s="1"/>
      <c r="B22" s="16">
        <f t="shared" si="3"/>
        <v>2019</v>
      </c>
      <c r="C22" s="14">
        <v>99469</v>
      </c>
      <c r="D22" s="14">
        <v>34031</v>
      </c>
      <c r="E22" s="14">
        <v>2538</v>
      </c>
      <c r="F22" s="14">
        <v>2985</v>
      </c>
      <c r="G22" s="14">
        <f t="shared" si="2"/>
        <v>39554</v>
      </c>
      <c r="H22" s="14">
        <f>C22-SUM(D22:F22)</f>
        <v>59915</v>
      </c>
    </row>
    <row r="23" spans="1:32">
      <c r="A23" s="1"/>
      <c r="B23" s="16">
        <f t="shared" si="3"/>
        <v>2020</v>
      </c>
      <c r="C23" s="14">
        <v>122000</v>
      </c>
      <c r="D23" s="14">
        <v>41389</v>
      </c>
      <c r="E23" s="14">
        <v>8692</v>
      </c>
      <c r="F23" s="14">
        <v>4692</v>
      </c>
      <c r="G23" s="14">
        <f t="shared" si="2"/>
        <v>54773</v>
      </c>
      <c r="H23" s="14">
        <f t="shared" si="0"/>
        <v>67227</v>
      </c>
    </row>
    <row r="25" spans="1:32" ht="18.75">
      <c r="A25" s="68" t="s">
        <v>20</v>
      </c>
      <c r="B25" s="68"/>
      <c r="C25" s="68"/>
    </row>
    <row r="26" spans="1:32">
      <c r="A26" s="10" t="s">
        <v>30</v>
      </c>
      <c r="B26" s="10" t="s">
        <v>18</v>
      </c>
      <c r="C26" s="10" t="s">
        <v>17</v>
      </c>
      <c r="D26" s="11" t="s">
        <v>11</v>
      </c>
      <c r="E26" s="11" t="s">
        <v>12</v>
      </c>
      <c r="F26" s="11" t="s">
        <v>13</v>
      </c>
      <c r="G26" s="11"/>
      <c r="H26" s="12" t="s">
        <v>14</v>
      </c>
      <c r="I26" s="12" t="s">
        <v>15</v>
      </c>
      <c r="J26" s="12" t="s">
        <v>16</v>
      </c>
    </row>
    <row r="27" spans="1:32">
      <c r="A27" s="13">
        <v>2011</v>
      </c>
      <c r="B27" s="5">
        <f t="shared" ref="B27:B36" si="4">ABS($D4-$D14)</f>
        <v>2127</v>
      </c>
      <c r="C27" s="18" cm="1">
        <f t="array" ref="C27:C36">H4:H13</f>
        <v>13552</v>
      </c>
      <c r="D27" s="2" cm="1">
        <f t="array" ref="D27">TREND($C$27:$C$36,$B$27:$B$36,$B27)</f>
        <v>31344.99295305504</v>
      </c>
      <c r="E27" s="2" cm="1">
        <f t="array" ref="E27">GROWTH($C$27:$C$36, $B$27:$B$36,B27)</f>
        <v>28422.437184367409</v>
      </c>
      <c r="F27" s="2">
        <f t="shared" ref="F27:F36" si="5">$D$39*(B27)^2+$E$39*(B27)+$F$39</f>
        <v>27286.218140374298</v>
      </c>
      <c r="G27" s="2"/>
      <c r="H27" s="2">
        <f>ABS($C27-D27)</f>
        <v>17792.99295305504</v>
      </c>
      <c r="I27" s="2">
        <f>ABS($C27-E27)</f>
        <v>14870.437184367409</v>
      </c>
      <c r="J27" s="2">
        <f>ABS(C27-F27)</f>
        <v>13734.218140374298</v>
      </c>
    </row>
    <row r="28" spans="1:32">
      <c r="A28" s="13">
        <f>A27+1</f>
        <v>2012</v>
      </c>
      <c r="B28" s="5">
        <f t="shared" si="4"/>
        <v>9689</v>
      </c>
      <c r="C28" s="18">
        <v>39946</v>
      </c>
      <c r="D28" s="2" cm="1">
        <f t="array" ref="D28">TREND($C$27:$C$36,$B$27:$B$36,$B28)</f>
        <v>34903.95818482805</v>
      </c>
      <c r="E28" s="2" cm="1">
        <f t="array" ref="E28">GROWTH($C$27:$C$36, $B$27:$B$36,B28)</f>
        <v>34515.567639757421</v>
      </c>
      <c r="F28" s="2">
        <f t="shared" si="5"/>
        <v>37266.533384181414</v>
      </c>
      <c r="G28" s="2"/>
      <c r="H28" s="2">
        <f t="shared" ref="H28:I36" si="6">ABS($C28-D28)</f>
        <v>5042.0418151719496</v>
      </c>
      <c r="I28" s="2">
        <f t="shared" si="6"/>
        <v>5430.4323602425793</v>
      </c>
      <c r="J28" s="2">
        <f t="shared" ref="J28:J36" si="7">ABS(C28-F28)</f>
        <v>2679.4666158185864</v>
      </c>
    </row>
    <row r="29" spans="1:32">
      <c r="A29" s="13">
        <f t="shared" ref="A29:A36" si="8">A28+1</f>
        <v>2013</v>
      </c>
      <c r="B29" s="5">
        <f t="shared" si="4"/>
        <v>6315</v>
      </c>
      <c r="C29" s="18">
        <v>43000</v>
      </c>
      <c r="D29" s="2" cm="1">
        <f t="array" ref="D29">TREND($C$27:$C$36,$B$27:$B$36,$B29)</f>
        <v>33316.025271312821</v>
      </c>
      <c r="E29" s="2" cm="1">
        <f t="array" ref="E29">GROWTH($C$27:$C$36, $B$27:$B$36,B29)</f>
        <v>31650.329155736599</v>
      </c>
      <c r="F29" s="2">
        <f t="shared" si="5"/>
        <v>36735.289906410573</v>
      </c>
      <c r="G29" s="2"/>
      <c r="H29" s="2">
        <f t="shared" si="6"/>
        <v>9683.9747286871789</v>
      </c>
      <c r="I29" s="2">
        <f>ABS($C29-E29)</f>
        <v>11349.670844263401</v>
      </c>
      <c r="J29" s="2">
        <f t="shared" si="7"/>
        <v>6264.7100935894268</v>
      </c>
      <c r="AF29" t="str">
        <f>TEXT(C4,"$###,###")</f>
        <v>$60,000</v>
      </c>
    </row>
    <row r="30" spans="1:32">
      <c r="A30" s="13">
        <f t="shared" si="8"/>
        <v>2014</v>
      </c>
      <c r="B30" s="5">
        <f t="shared" si="4"/>
        <v>10924</v>
      </c>
      <c r="C30" s="18">
        <v>33330</v>
      </c>
      <c r="D30" s="2" cm="1">
        <f t="array" ref="D30">TREND($C$27:$C$36,$B$27:$B$36,$B30)</f>
        <v>35485.196225192994</v>
      </c>
      <c r="E30" s="2" cm="1">
        <f t="array" ref="E30">GROWTH($C$27:$C$36, $B$27:$B$36,B30)</f>
        <v>35627.994694846435</v>
      </c>
      <c r="F30" s="2">
        <f t="shared" si="5"/>
        <v>35881.185314466347</v>
      </c>
      <c r="G30" s="2"/>
      <c r="H30" s="2">
        <f t="shared" si="6"/>
        <v>2155.1962251929945</v>
      </c>
      <c r="I30" s="2">
        <f t="shared" si="6"/>
        <v>2297.9946948464349</v>
      </c>
      <c r="J30" s="2">
        <f t="shared" si="7"/>
        <v>2551.1853144663473</v>
      </c>
    </row>
    <row r="31" spans="1:32">
      <c r="A31" s="13">
        <f t="shared" si="8"/>
        <v>2015</v>
      </c>
      <c r="B31" s="5">
        <f t="shared" si="4"/>
        <v>1919</v>
      </c>
      <c r="C31" s="18">
        <v>36611</v>
      </c>
      <c r="D31" s="2" cm="1">
        <f t="array" ref="D31">TREND($C$27:$C$36,$B$27:$B$36,$B31)</f>
        <v>31247.100230467258</v>
      </c>
      <c r="E31" s="2" cm="1">
        <f t="array" ref="E31">GROWTH($C$27:$C$36, $B$27:$B$36,B31)</f>
        <v>28270.994524211419</v>
      </c>
      <c r="F31" s="2">
        <f t="shared" si="5"/>
        <v>26563.147669298254</v>
      </c>
      <c r="G31" s="2"/>
      <c r="H31" s="2">
        <f t="shared" si="6"/>
        <v>5363.8997695327416</v>
      </c>
      <c r="I31" s="2">
        <f t="shared" si="6"/>
        <v>8340.005475788581</v>
      </c>
      <c r="J31" s="2">
        <f t="shared" si="7"/>
        <v>10047.852330701746</v>
      </c>
    </row>
    <row r="32" spans="1:32">
      <c r="A32" s="13">
        <f t="shared" si="8"/>
        <v>2016</v>
      </c>
      <c r="B32" s="5">
        <f t="shared" si="4"/>
        <v>10164</v>
      </c>
      <c r="C32" s="18">
        <v>27769</v>
      </c>
      <c r="D32" s="2" cm="1">
        <f t="array" ref="D32">TREND($C$27:$C$36,$B$27:$B$36,$B32)</f>
        <v>35127.511277276106</v>
      </c>
      <c r="E32" s="2" cm="1">
        <f t="array" ref="E32">GROWTH($C$27:$C$36, $B$27:$B$36,B32)</f>
        <v>34939.253334047338</v>
      </c>
      <c r="F32" s="2">
        <f t="shared" si="5"/>
        <v>36833.899895056704</v>
      </c>
      <c r="G32" s="2"/>
      <c r="H32" s="2">
        <f t="shared" si="6"/>
        <v>7358.5112772761058</v>
      </c>
      <c r="I32" s="2">
        <f t="shared" si="6"/>
        <v>7170.2533340473383</v>
      </c>
      <c r="J32" s="2">
        <f t="shared" si="7"/>
        <v>9064.8998950567038</v>
      </c>
    </row>
    <row r="33" spans="1:10">
      <c r="A33" s="13">
        <f t="shared" si="8"/>
        <v>2017</v>
      </c>
      <c r="B33" s="5">
        <f t="shared" si="4"/>
        <v>4757</v>
      </c>
      <c r="C33" s="18">
        <v>40642</v>
      </c>
      <c r="D33" s="2" cm="1">
        <f t="array" ref="D33">TREND($C$27:$C$36,$B$27:$B$36,$B33)</f>
        <v>32582.771128083208</v>
      </c>
      <c r="E33" s="2" cm="1">
        <f t="array" ref="E33">GROWTH($C$27:$C$36, $B$27:$B$36,B33)</f>
        <v>30408.767943590472</v>
      </c>
      <c r="F33" s="2">
        <f t="shared" si="5"/>
        <v>34357.330592939739</v>
      </c>
      <c r="G33" s="2"/>
      <c r="H33" s="2">
        <f t="shared" si="6"/>
        <v>8059.2288719167918</v>
      </c>
      <c r="I33" s="2">
        <f t="shared" si="6"/>
        <v>10233.232056409528</v>
      </c>
      <c r="J33" s="2">
        <f t="shared" si="7"/>
        <v>6284.6694070602607</v>
      </c>
    </row>
    <row r="34" spans="1:10">
      <c r="A34" s="13">
        <f t="shared" si="8"/>
        <v>2018</v>
      </c>
      <c r="B34" s="5">
        <f t="shared" si="4"/>
        <v>13586</v>
      </c>
      <c r="C34" s="18">
        <v>33746</v>
      </c>
      <c r="D34" s="2" cm="1">
        <f t="array" ref="D34">TREND($C$27:$C$36,$B$27:$B$36,$B34)</f>
        <v>36738.034819080822</v>
      </c>
      <c r="E34" s="2" cm="1">
        <f t="array" ref="E34">GROWTH($C$27:$C$36, $B$27:$B$36,B34)</f>
        <v>38149.236123890631</v>
      </c>
      <c r="F34" s="2">
        <f t="shared" si="5"/>
        <v>30015.94529020337</v>
      </c>
      <c r="G34" s="2"/>
      <c r="H34" s="2">
        <f t="shared" si="6"/>
        <v>2992.0348190808218</v>
      </c>
      <c r="I34" s="2">
        <f t="shared" si="6"/>
        <v>4403.2361238906306</v>
      </c>
      <c r="J34" s="2">
        <f t="shared" si="7"/>
        <v>3730.05470979663</v>
      </c>
    </row>
    <row r="35" spans="1:10">
      <c r="A35" s="13">
        <f t="shared" si="8"/>
        <v>2019</v>
      </c>
      <c r="B35" s="5">
        <f t="shared" si="4"/>
        <v>5154</v>
      </c>
      <c r="C35" s="18">
        <v>29322</v>
      </c>
      <c r="D35" s="2" cm="1">
        <f t="array" ref="D35">TREND($C$27:$C$36,$B$27:$B$36,$B35)</f>
        <v>32769.614449560846</v>
      </c>
      <c r="E35" s="2" cm="1">
        <f t="array" ref="E35">GROWTH($C$27:$C$36, $B$27:$B$36,B35)</f>
        <v>30720.433383589323</v>
      </c>
      <c r="F35" s="2">
        <f t="shared" si="5"/>
        <v>35091.191457592649</v>
      </c>
      <c r="G35" s="2"/>
      <c r="H35" s="2">
        <f t="shared" si="6"/>
        <v>3447.614449560846</v>
      </c>
      <c r="I35" s="2">
        <f t="shared" si="6"/>
        <v>1398.4333835893231</v>
      </c>
      <c r="J35" s="2">
        <f t="shared" si="7"/>
        <v>5769.1914575926494</v>
      </c>
    </row>
    <row r="36" spans="1:10">
      <c r="A36" s="13">
        <f t="shared" si="8"/>
        <v>2020</v>
      </c>
      <c r="B36" s="5">
        <f t="shared" si="4"/>
        <v>6425</v>
      </c>
      <c r="C36" s="18">
        <v>38965</v>
      </c>
      <c r="D36" s="2" cm="1">
        <f t="array" ref="D36">TREND($C$27:$C$36,$B$27:$B$36,$B36)</f>
        <v>33367.795461142901</v>
      </c>
      <c r="E36" s="2" cm="1">
        <f t="array" ref="E36">GROWTH($C$27:$C$36, $B$27:$B$36,B36)</f>
        <v>31739.879603110188</v>
      </c>
      <c r="F36" s="2">
        <f t="shared" si="5"/>
        <v>36852.258349476659</v>
      </c>
      <c r="G36" s="2"/>
      <c r="H36" s="2">
        <f t="shared" si="6"/>
        <v>5597.2045388570987</v>
      </c>
      <c r="I36" s="2">
        <f t="shared" si="6"/>
        <v>7225.1203968898117</v>
      </c>
      <c r="J36" s="2">
        <f t="shared" si="7"/>
        <v>2112.7416505233414</v>
      </c>
    </row>
    <row r="38" spans="1:10">
      <c r="D38" t="s">
        <v>19</v>
      </c>
    </row>
    <row r="39" spans="1:10">
      <c r="D39" cm="1">
        <f t="array" ref="D39:F39">LINEST(_xlfn.ANCHORARRAY(C27),B27:B36^{1,2},TRUE,FALSE)</f>
        <v>-2.7754208181422503E-4</v>
      </c>
      <c r="E39">
        <v>4.5992356047321064</v>
      </c>
      <c r="F39">
        <v>18759.280190165216</v>
      </c>
    </row>
    <row r="41" spans="1:10">
      <c r="D41" s="12"/>
      <c r="E41" s="12" t="s">
        <v>21</v>
      </c>
      <c r="F41" s="12" t="s">
        <v>22</v>
      </c>
      <c r="G41" s="12"/>
      <c r="H41" s="12" t="s">
        <v>23</v>
      </c>
    </row>
    <row r="42" spans="1:10">
      <c r="D42" s="12" t="s">
        <v>24</v>
      </c>
      <c r="E42" s="2">
        <f>AVERAGE(D27:D36)</f>
        <v>33688.300000000003</v>
      </c>
      <c r="F42" s="2">
        <f>AVERAGE(E27:E36)</f>
        <v>32444.489358714723</v>
      </c>
      <c r="G42" s="2"/>
      <c r="H42" s="2">
        <f>AVERAGE(F27:F36)</f>
        <v>33688.300000000003</v>
      </c>
    </row>
    <row r="43" spans="1:10">
      <c r="D43" s="12" t="s">
        <v>25</v>
      </c>
      <c r="E43" s="15">
        <f>MIN(E42:H42)</f>
        <v>32444.489358714723</v>
      </c>
      <c r="F43" s="15"/>
      <c r="G43" s="15"/>
      <c r="H43" s="15"/>
    </row>
    <row r="44" spans="1:10">
      <c r="D44" s="12" t="s">
        <v>26</v>
      </c>
      <c r="E44" s="22" t="str">
        <f ca="1">OFFSET(D41,0,MATCH(E43,E42:H42,0))</f>
        <v>Exponential</v>
      </c>
      <c r="F44" s="23"/>
      <c r="G44" s="23"/>
      <c r="H44" s="24"/>
    </row>
    <row r="46" spans="1:10" ht="18.75">
      <c r="A46" s="68" t="s">
        <v>33</v>
      </c>
      <c r="B46" s="68"/>
      <c r="C46" s="68"/>
    </row>
    <row r="47" spans="1:10">
      <c r="A47" s="10" t="s">
        <v>30</v>
      </c>
      <c r="B47" s="10" t="s">
        <v>18</v>
      </c>
      <c r="C47" s="10" t="s">
        <v>17</v>
      </c>
      <c r="D47" s="11" t="s">
        <v>11</v>
      </c>
      <c r="E47" s="11" t="s">
        <v>12</v>
      </c>
      <c r="F47" s="11" t="s">
        <v>13</v>
      </c>
      <c r="G47" s="11"/>
      <c r="H47" s="12" t="s">
        <v>14</v>
      </c>
      <c r="I47" s="12" t="s">
        <v>15</v>
      </c>
      <c r="J47" s="12" t="s">
        <v>16</v>
      </c>
    </row>
    <row r="48" spans="1:10">
      <c r="A48" s="13">
        <v>2011</v>
      </c>
      <c r="B48" s="3">
        <f>$B27</f>
        <v>2127</v>
      </c>
      <c r="C48" s="18" cm="1">
        <f t="array" ref="C48:C57">H14:H23</f>
        <v>67713</v>
      </c>
      <c r="D48" s="2" cm="1">
        <f t="array" ref="D48">TREND($C$48:$C$57,$B$48:$B$57,$B48)</f>
        <v>66563.598475969484</v>
      </c>
      <c r="E48" s="2" cm="1">
        <f t="array" ref="E48">GROWTH($C$48:$C$57, $B$48:$B$57,B48)</f>
        <v>66433.529556044552</v>
      </c>
      <c r="F48" s="19">
        <f>$D$60*(B48)^2+$E$60*(B48)+$F$60</f>
        <v>69003.812588193978</v>
      </c>
      <c r="G48" s="19"/>
      <c r="H48" s="2">
        <f>ABS($C48-D48)</f>
        <v>1149.4015240305162</v>
      </c>
      <c r="I48" s="2">
        <f>ABS($C48-E48)</f>
        <v>1279.470443955448</v>
      </c>
      <c r="J48" s="2">
        <f>ABS(C48-F48)</f>
        <v>1290.8125881939777</v>
      </c>
    </row>
    <row r="49" spans="1:34">
      <c r="A49" s="13">
        <f>A48+1</f>
        <v>2012</v>
      </c>
      <c r="B49" s="3">
        <f t="shared" ref="B49:B57" si="9">$B28</f>
        <v>9689</v>
      </c>
      <c r="C49" s="18">
        <v>64054</v>
      </c>
      <c r="D49" s="2" cm="1">
        <f t="array" ref="D49">TREND($C$48:$C$57,$B$48:$B$57,$B49)</f>
        <v>64561.242726766577</v>
      </c>
      <c r="E49" s="2" cm="1">
        <f t="array" ref="E49">GROWTH($C$48:$C$57, $B$48:$B$57,B49)</f>
        <v>64486.76991638149</v>
      </c>
      <c r="F49" s="19">
        <f t="shared" ref="F49:F57" si="10">$D$60*(B49)^2+$E$60*(B49)+$F$60</f>
        <v>63140.816709377861</v>
      </c>
      <c r="G49" s="19"/>
      <c r="H49" s="2">
        <f t="shared" ref="H49:I57" si="11">ABS($C49-D49)</f>
        <v>507.24272676657711</v>
      </c>
      <c r="I49" s="2">
        <f t="shared" si="11"/>
        <v>432.76991638149048</v>
      </c>
      <c r="J49" s="2">
        <f t="shared" ref="J49:J57" si="12">ABS(C49-F49)</f>
        <v>913.18329062213888</v>
      </c>
    </row>
    <row r="50" spans="1:34">
      <c r="A50" s="13">
        <f t="shared" ref="A50:A57" si="13">A49+1</f>
        <v>2013</v>
      </c>
      <c r="B50" s="3">
        <f t="shared" si="9"/>
        <v>6315</v>
      </c>
      <c r="C50" s="18">
        <v>60326</v>
      </c>
      <c r="D50" s="2" cm="1">
        <f t="array" ref="D50">TREND($C$48:$C$57,$B$48:$B$57,$B50)</f>
        <v>65454.650330285571</v>
      </c>
      <c r="E50" s="2" cm="1">
        <f t="array" ref="E50">GROWTH($C$48:$C$57, $B$48:$B$57,B50)</f>
        <v>65348.222035084116</v>
      </c>
      <c r="F50" s="19">
        <f t="shared" si="10"/>
        <v>63398.922136169567</v>
      </c>
      <c r="G50" s="19"/>
      <c r="H50" s="2">
        <f t="shared" si="11"/>
        <v>5128.6503302855708</v>
      </c>
      <c r="I50" s="2">
        <f>ABS($C50-E50)</f>
        <v>5022.2220350841162</v>
      </c>
      <c r="J50" s="2">
        <f t="shared" si="12"/>
        <v>3072.9221361695672</v>
      </c>
    </row>
    <row r="51" spans="1:34">
      <c r="A51" s="13">
        <f t="shared" si="13"/>
        <v>2014</v>
      </c>
      <c r="B51" s="3">
        <f t="shared" si="9"/>
        <v>10924</v>
      </c>
      <c r="C51" s="18">
        <v>61552</v>
      </c>
      <c r="D51" s="2" cm="1">
        <f t="array" ref="D51">TREND($C$48:$C$57,$B$48:$B$57,$B51)</f>
        <v>64234.224828027407</v>
      </c>
      <c r="E51" s="2" cm="1">
        <f t="array" ref="E51">GROWTH($C$48:$C$57, $B$48:$B$57,B51)</f>
        <v>64174.29588438748</v>
      </c>
      <c r="F51" s="19">
        <f t="shared" si="10"/>
        <v>63996.148509796396</v>
      </c>
      <c r="G51" s="19"/>
      <c r="H51" s="2">
        <f t="shared" si="11"/>
        <v>2682.2248280274071</v>
      </c>
      <c r="I51" s="2">
        <f t="shared" si="11"/>
        <v>2622.2958843874803</v>
      </c>
      <c r="J51" s="2">
        <f t="shared" si="12"/>
        <v>2444.148509796396</v>
      </c>
    </row>
    <row r="52" spans="1:34">
      <c r="A52" s="13">
        <f t="shared" si="13"/>
        <v>2015</v>
      </c>
      <c r="B52" s="3">
        <f t="shared" si="9"/>
        <v>1919</v>
      </c>
      <c r="C52" s="18">
        <v>70109</v>
      </c>
      <c r="D52" s="2" cm="1">
        <f t="array" ref="D52">TREND($C$48:$C$57,$B$48:$B$57,$B52)</f>
        <v>66618.675174704505</v>
      </c>
      <c r="E52" s="2" cm="1">
        <f t="array" ref="E52">GROWTH($C$48:$C$57, $B$48:$B$57,B52)</f>
        <v>66487.899513795201</v>
      </c>
      <c r="F52" s="19">
        <f t="shared" si="10"/>
        <v>69434.758270776903</v>
      </c>
      <c r="G52" s="19"/>
      <c r="H52" s="2">
        <f t="shared" si="11"/>
        <v>3490.3248252954945</v>
      </c>
      <c r="I52" s="2">
        <f t="shared" si="11"/>
        <v>3621.1004862047994</v>
      </c>
      <c r="J52" s="2">
        <f t="shared" si="12"/>
        <v>674.24172922309663</v>
      </c>
    </row>
    <row r="53" spans="1:34">
      <c r="A53" s="13">
        <f t="shared" si="13"/>
        <v>2016</v>
      </c>
      <c r="B53" s="3">
        <f t="shared" si="9"/>
        <v>10164</v>
      </c>
      <c r="C53" s="18">
        <v>63905</v>
      </c>
      <c r="D53" s="2" cm="1">
        <f t="array" ref="D53">TREND($C$48:$C$57,$B$48:$B$57,$B53)</f>
        <v>64435.46661186689</v>
      </c>
      <c r="E53" s="2" cm="1">
        <f t="array" ref="E53">GROWTH($C$48:$C$57, $B$48:$B$57,B53)</f>
        <v>64366.407942841826</v>
      </c>
      <c r="F53" s="19">
        <f t="shared" si="10"/>
        <v>63409.552690001074</v>
      </c>
      <c r="G53" s="19"/>
      <c r="H53" s="2">
        <f t="shared" si="11"/>
        <v>530.46661186689016</v>
      </c>
      <c r="I53" s="2">
        <f t="shared" si="11"/>
        <v>461.4079428418263</v>
      </c>
      <c r="J53" s="2">
        <f t="shared" si="12"/>
        <v>495.44730999892636</v>
      </c>
    </row>
    <row r="54" spans="1:34">
      <c r="A54" s="13">
        <f t="shared" si="13"/>
        <v>2017</v>
      </c>
      <c r="B54" s="3">
        <f t="shared" si="9"/>
        <v>4757</v>
      </c>
      <c r="C54" s="18">
        <v>69348</v>
      </c>
      <c r="D54" s="2" cm="1">
        <f t="array" ref="D54">TREND($C$48:$C$57,$B$48:$B$57,$B54)</f>
        <v>65867.19598715652</v>
      </c>
      <c r="E54" s="2" cm="1">
        <f t="array" ref="E54">GROWTH($C$48:$C$57, $B$48:$B$57,B54)</f>
        <v>65749.886306630753</v>
      </c>
      <c r="F54" s="19">
        <f t="shared" si="10"/>
        <v>64800.296430276598</v>
      </c>
      <c r="G54" s="19"/>
      <c r="H54" s="2">
        <f t="shared" si="11"/>
        <v>3480.8040128434805</v>
      </c>
      <c r="I54" s="2">
        <f t="shared" si="11"/>
        <v>3598.1136933692469</v>
      </c>
      <c r="J54" s="2">
        <f t="shared" si="12"/>
        <v>4547.7035697234023</v>
      </c>
    </row>
    <row r="55" spans="1:34">
      <c r="A55" s="13">
        <f t="shared" si="13"/>
        <v>2018</v>
      </c>
      <c r="B55" s="3">
        <f t="shared" si="9"/>
        <v>13586</v>
      </c>
      <c r="C55" s="18">
        <v>68303</v>
      </c>
      <c r="D55" s="2" cm="1">
        <f t="array" ref="D55">TREND($C$48:$C$57,$B$48:$B$57,$B55)</f>
        <v>63529.349000947506</v>
      </c>
      <c r="E55" s="2" cm="1">
        <f t="array" ref="E55">GROWTH($C$48:$C$57, $B$48:$B$57,B55)</f>
        <v>63505.908359103007</v>
      </c>
      <c r="F55" s="19">
        <f t="shared" si="10"/>
        <v>67570.799559070292</v>
      </c>
      <c r="G55" s="19"/>
      <c r="H55" s="2">
        <f t="shared" si="11"/>
        <v>4773.6509990524937</v>
      </c>
      <c r="I55" s="2">
        <f t="shared" si="11"/>
        <v>4797.0916408969933</v>
      </c>
      <c r="J55" s="2">
        <f t="shared" si="12"/>
        <v>732.20044092970784</v>
      </c>
    </row>
    <row r="56" spans="1:34">
      <c r="A56" s="13">
        <f t="shared" si="13"/>
        <v>2019</v>
      </c>
      <c r="B56" s="3">
        <f t="shared" si="9"/>
        <v>5154</v>
      </c>
      <c r="C56" s="18">
        <v>59915</v>
      </c>
      <c r="D56" s="2" cm="1">
        <f t="array" ref="D56">TREND($C$48:$C$57,$B$48:$B$57,$B56)</f>
        <v>65762.073634282468</v>
      </c>
      <c r="E56" s="2" cm="1">
        <f t="array" ref="E56">GROWTH($C$48:$C$57, $B$48:$B$57,B56)</f>
        <v>65647.302885989935</v>
      </c>
      <c r="F56" s="19">
        <f t="shared" si="10"/>
        <v>64366.296524422702</v>
      </c>
      <c r="G56" s="19"/>
      <c r="H56" s="2">
        <f t="shared" si="11"/>
        <v>5847.0736342824675</v>
      </c>
      <c r="I56" s="2">
        <f t="shared" si="11"/>
        <v>5732.302885989935</v>
      </c>
      <c r="J56" s="2">
        <f t="shared" si="12"/>
        <v>4451.2965244227016</v>
      </c>
    </row>
    <row r="57" spans="1:34">
      <c r="A57" s="13">
        <f t="shared" si="13"/>
        <v>2020</v>
      </c>
      <c r="B57" s="3">
        <f t="shared" si="9"/>
        <v>6425</v>
      </c>
      <c r="C57" s="18">
        <v>67227</v>
      </c>
      <c r="D57" s="2" cm="1">
        <f t="array" ref="D57">TREND($C$48:$C$57,$B$48:$B$57,$B57)</f>
        <v>65425.523229993007</v>
      </c>
      <c r="E57" s="2" cm="1">
        <f t="array" ref="E57">GROWTH($C$48:$C$57, $B$48:$B$57,B57)</f>
        <v>65319.956110409563</v>
      </c>
      <c r="F57" s="19">
        <f t="shared" si="10"/>
        <v>63330.596581914542</v>
      </c>
      <c r="G57" s="19"/>
      <c r="H57" s="2">
        <f t="shared" si="11"/>
        <v>1801.4767700069933</v>
      </c>
      <c r="I57" s="2">
        <f t="shared" si="11"/>
        <v>1907.0438895904372</v>
      </c>
      <c r="J57" s="2">
        <f t="shared" si="12"/>
        <v>3896.4034180854578</v>
      </c>
    </row>
    <row r="59" spans="1:34">
      <c r="D59" t="s">
        <v>19</v>
      </c>
    </row>
    <row r="60" spans="1:34">
      <c r="D60" cm="1">
        <f t="array" ref="D60:F60">LINEST(_xlfn.ANCHORARRAY(C48),B48:B57^{1,2},TRUE,FALSE)</f>
        <v>1.6686368079926061E-4</v>
      </c>
      <c r="E60">
        <v>-2.7469846957009634</v>
      </c>
      <c r="F60">
        <v>74091.736218599253</v>
      </c>
    </row>
    <row r="62" spans="1:34">
      <c r="D62" s="12"/>
      <c r="E62" s="12" t="s">
        <v>21</v>
      </c>
      <c r="F62" s="12" t="s">
        <v>22</v>
      </c>
      <c r="G62" s="12"/>
      <c r="H62" s="12" t="s">
        <v>23</v>
      </c>
    </row>
    <row r="63" spans="1:34">
      <c r="D63" s="12" t="s">
        <v>24</v>
      </c>
      <c r="E63" s="2">
        <f>AVERAGE(D48:D57)</f>
        <v>65245.2</v>
      </c>
      <c r="F63" s="2">
        <f>AVERAGE(E48:E57)</f>
        <v>65152.01785106679</v>
      </c>
      <c r="G63" s="2"/>
      <c r="H63" s="2">
        <f>AVERAGE(F48:F57)</f>
        <v>65245.2</v>
      </c>
    </row>
    <row r="64" spans="1:34">
      <c r="D64" s="12" t="s">
        <v>25</v>
      </c>
      <c r="E64" s="15">
        <f>MIN(E63:H63)</f>
        <v>65152.01785106679</v>
      </c>
      <c r="F64" s="15"/>
      <c r="G64" s="15"/>
      <c r="H64" s="15"/>
      <c r="AH64" t="s">
        <v>104</v>
      </c>
    </row>
    <row r="65" spans="1:34">
      <c r="D65" s="12" t="s">
        <v>26</v>
      </c>
      <c r="E65" s="22" t="str">
        <f ca="1">OFFSET(D62,0,MATCH(E64,E63:H63,0))</f>
        <v>Exponential</v>
      </c>
      <c r="F65" s="23"/>
      <c r="G65" s="23"/>
      <c r="H65" s="24"/>
      <c r="AH65" t="s">
        <v>105</v>
      </c>
    </row>
    <row r="66" spans="1:34">
      <c r="AH66" t="s">
        <v>106</v>
      </c>
    </row>
    <row r="67" spans="1:34">
      <c r="AH67" t="s">
        <v>107</v>
      </c>
    </row>
    <row r="68" spans="1:34">
      <c r="AH68" t="s">
        <v>108</v>
      </c>
    </row>
    <row r="71" spans="1:34" ht="18.75">
      <c r="A71" s="68" t="s">
        <v>27</v>
      </c>
      <c r="B71" s="68"/>
      <c r="C71" s="68"/>
    </row>
    <row r="72" spans="1:34">
      <c r="A72" s="10" t="s">
        <v>30</v>
      </c>
      <c r="B72" s="10" t="s">
        <v>34</v>
      </c>
      <c r="C72" s="10" t="s">
        <v>17</v>
      </c>
      <c r="D72" s="11" t="s">
        <v>11</v>
      </c>
      <c r="E72" s="11" t="s">
        <v>12</v>
      </c>
      <c r="F72" s="11" t="s">
        <v>13</v>
      </c>
      <c r="G72" s="11"/>
      <c r="H72" s="12" t="s">
        <v>14</v>
      </c>
      <c r="I72" s="12" t="s">
        <v>15</v>
      </c>
      <c r="J72" s="12" t="s">
        <v>16</v>
      </c>
    </row>
    <row r="73" spans="1:34">
      <c r="A73" s="13">
        <v>2011</v>
      </c>
      <c r="B73" s="3">
        <f t="shared" ref="B73:B82" si="14">ABS($E4-$E14)</f>
        <v>4074</v>
      </c>
      <c r="C73" s="18" cm="1">
        <f t="array" ref="C73:C82">H4:H13</f>
        <v>13552</v>
      </c>
      <c r="D73" s="2" cm="1">
        <f t="array" ref="D73">TREND($C$73:$C$82,$B$73:$B$82,$B73)</f>
        <v>31351.116480535209</v>
      </c>
      <c r="E73" s="2" cm="1">
        <f t="array" ref="E73">GROWTH($C$73:$C$82, $B$73:$B$82,B73)</f>
        <v>29075.605107098319</v>
      </c>
      <c r="F73" s="2">
        <f>$D$85*(B73)^2+$E$85*(B73)+$F$85</f>
        <v>31403.618151709103</v>
      </c>
      <c r="G73" s="19"/>
      <c r="H73" s="2">
        <f>ABS($C73-D73)</f>
        <v>17799.116480535209</v>
      </c>
      <c r="I73" s="2">
        <f>ABS($C73-E73)</f>
        <v>15523.605107098319</v>
      </c>
      <c r="J73" s="2">
        <f>ABS(C73-F73)</f>
        <v>17851.618151709103</v>
      </c>
    </row>
    <row r="74" spans="1:34">
      <c r="A74" s="13">
        <f>A73+1</f>
        <v>2012</v>
      </c>
      <c r="B74" s="3">
        <f t="shared" si="14"/>
        <v>3630</v>
      </c>
      <c r="C74" s="18">
        <v>39946</v>
      </c>
      <c r="D74" s="2" cm="1">
        <f t="array" ref="D74">TREND($C$73:$C$82,$B$73:$B$82,$B74)</f>
        <v>32118.880229160815</v>
      </c>
      <c r="E74" s="2" cm="1">
        <f t="array" ref="E74">GROWTH($C$73:$C$82, $B$73:$B$82,B74)</f>
        <v>30097.632321506142</v>
      </c>
      <c r="F74" s="2">
        <f t="shared" ref="F74:F82" si="15">$D$85*(B74)^2+$E$85*(B74)+$F$85</f>
        <v>32053.127950494738</v>
      </c>
      <c r="G74" s="19"/>
      <c r="H74" s="2">
        <f t="shared" ref="H74:I82" si="16">ABS($C74-D74)</f>
        <v>7827.1197708391846</v>
      </c>
      <c r="I74" s="2">
        <f t="shared" si="16"/>
        <v>9848.367678493858</v>
      </c>
      <c r="J74" s="2">
        <f t="shared" ref="J74:J82" si="17">ABS(C74-F74)</f>
        <v>7892.8720495052621</v>
      </c>
    </row>
    <row r="75" spans="1:34">
      <c r="A75" s="13">
        <f t="shared" ref="A75:A78" si="18">A74+1</f>
        <v>2013</v>
      </c>
      <c r="B75" s="3">
        <f t="shared" si="14"/>
        <v>4195</v>
      </c>
      <c r="C75" s="18">
        <v>43000</v>
      </c>
      <c r="D75" s="2" cm="1">
        <f t="array" ref="D75">TREND($C$73:$C$82,$B$73:$B$82,$B75)</f>
        <v>31141.883567058409</v>
      </c>
      <c r="E75" s="2" cm="1">
        <f t="array" ref="E75">GROWTH($C$73:$C$82, $B$73:$B$82,B75)</f>
        <v>28803.14766383863</v>
      </c>
      <c r="F75" s="2">
        <f t="shared" si="15"/>
        <v>31233.797064669296</v>
      </c>
      <c r="G75" s="19"/>
      <c r="H75" s="2">
        <f t="shared" si="16"/>
        <v>11858.116432941591</v>
      </c>
      <c r="I75" s="2">
        <f>ABS($C75-E75)</f>
        <v>14196.85233616137</v>
      </c>
      <c r="J75" s="2">
        <f t="shared" si="17"/>
        <v>11766.202935330704</v>
      </c>
    </row>
    <row r="76" spans="1:34">
      <c r="A76" s="13">
        <f t="shared" si="18"/>
        <v>2014</v>
      </c>
      <c r="B76" s="3">
        <f t="shared" si="14"/>
        <v>4345</v>
      </c>
      <c r="C76" s="18">
        <v>33330</v>
      </c>
      <c r="D76" s="2" cm="1">
        <f t="array" ref="D76">TREND($C$73:$C$82,$B$73:$B$82,$B76)</f>
        <v>30882.503922252461</v>
      </c>
      <c r="E76" s="2" cm="1">
        <f t="array" ref="E76">GROWTH($C$73:$C$82, $B$73:$B$82,B76)</f>
        <v>28468.932127824366</v>
      </c>
      <c r="F76" s="2">
        <f t="shared" si="15"/>
        <v>31027.547252157539</v>
      </c>
      <c r="G76" s="19"/>
      <c r="H76" s="2">
        <f t="shared" si="16"/>
        <v>2447.4960777475389</v>
      </c>
      <c r="I76" s="2">
        <f t="shared" si="16"/>
        <v>4861.067872175634</v>
      </c>
      <c r="J76" s="2">
        <f t="shared" si="17"/>
        <v>2302.4527478424607</v>
      </c>
    </row>
    <row r="77" spans="1:34">
      <c r="A77" s="13">
        <f t="shared" si="18"/>
        <v>2015</v>
      </c>
      <c r="B77" s="3">
        <f t="shared" si="14"/>
        <v>1285</v>
      </c>
      <c r="C77" s="18">
        <v>36611</v>
      </c>
      <c r="D77" s="2" cm="1">
        <f t="array" ref="D77">TREND($C$73:$C$82,$B$73:$B$82,$B77)</f>
        <v>36173.848676293805</v>
      </c>
      <c r="E77" s="2" cm="1">
        <f t="array" ref="E77">GROWTH($C$73:$C$82, $B$73:$B$82,B77)</f>
        <v>36122.19759268999</v>
      </c>
      <c r="F77" s="2">
        <f t="shared" si="15"/>
        <v>36170.890866968351</v>
      </c>
      <c r="G77" s="19"/>
      <c r="H77" s="2">
        <f t="shared" si="16"/>
        <v>437.1513237061954</v>
      </c>
      <c r="I77" s="2">
        <f t="shared" si="16"/>
        <v>488.80240731000958</v>
      </c>
      <c r="J77" s="2">
        <f t="shared" si="17"/>
        <v>440.10913303164853</v>
      </c>
    </row>
    <row r="78" spans="1:34">
      <c r="A78" s="13">
        <f t="shared" si="18"/>
        <v>2016</v>
      </c>
      <c r="B78" s="3">
        <f t="shared" si="14"/>
        <v>2729</v>
      </c>
      <c r="C78" s="18">
        <v>27769</v>
      </c>
      <c r="D78" s="2" cm="1">
        <f t="array" ref="D78">TREND($C$73:$C$82,$B$73:$B$82,$B78)</f>
        <v>33676.887295628541</v>
      </c>
      <c r="E78" s="2" cm="1">
        <f t="array" ref="E78">GROWTH($C$73:$C$82, $B$73:$B$82,B78)</f>
        <v>32283.362856664884</v>
      </c>
      <c r="F78" s="2">
        <f t="shared" si="15"/>
        <v>33498.526095186542</v>
      </c>
      <c r="G78" s="19"/>
      <c r="H78" s="2">
        <f t="shared" si="16"/>
        <v>5907.8872956285413</v>
      </c>
      <c r="I78" s="2">
        <f t="shared" si="16"/>
        <v>4514.362856664884</v>
      </c>
      <c r="J78" s="2">
        <f t="shared" si="17"/>
        <v>5729.5260951865421</v>
      </c>
    </row>
    <row r="79" spans="1:34">
      <c r="A79" s="13">
        <f>A78+1</f>
        <v>2017</v>
      </c>
      <c r="B79" s="3">
        <f t="shared" si="14"/>
        <v>1626</v>
      </c>
      <c r="C79" s="18">
        <v>40642</v>
      </c>
      <c r="D79" s="2" cm="1">
        <f t="array" ref="D79">TREND($C$73:$C$82,$B$73:$B$82,$B79)</f>
        <v>35584.19228376828</v>
      </c>
      <c r="E79" s="2" cm="1">
        <f t="array" ref="E79">GROWTH($C$73:$C$82, $B$73:$B$82,B79)</f>
        <v>35176.380579355689</v>
      </c>
      <c r="F79" s="2">
        <f t="shared" si="15"/>
        <v>35500.283608294529</v>
      </c>
      <c r="G79" s="19"/>
      <c r="H79" s="2">
        <f t="shared" si="16"/>
        <v>5057.8077162317204</v>
      </c>
      <c r="I79" s="2">
        <f t="shared" si="16"/>
        <v>5465.6194206443106</v>
      </c>
      <c r="J79" s="2">
        <f t="shared" si="17"/>
        <v>5141.7163917054713</v>
      </c>
    </row>
    <row r="80" spans="1:34">
      <c r="A80" s="13">
        <f t="shared" ref="A80:A82" si="19">A79+1</f>
        <v>2018</v>
      </c>
      <c r="B80" s="3">
        <f t="shared" si="14"/>
        <v>627</v>
      </c>
      <c r="C80" s="18">
        <v>33746</v>
      </c>
      <c r="D80" s="2" cm="1">
        <f t="array" ref="D80">TREND($C$73:$C$82,$B$73:$B$82,$B80)</f>
        <v>37311.660718175895</v>
      </c>
      <c r="E80" s="2" cm="1">
        <f t="array" ref="E80">GROWTH($C$73:$C$82, $B$73:$B$82,B80)</f>
        <v>38019.74373919121</v>
      </c>
      <c r="F80" s="2">
        <f t="shared" si="15"/>
        <v>37533.991942841632</v>
      </c>
      <c r="G80" s="19"/>
      <c r="H80" s="2">
        <f t="shared" si="16"/>
        <v>3565.6607181758955</v>
      </c>
      <c r="I80" s="2">
        <f t="shared" si="16"/>
        <v>4273.7437391912099</v>
      </c>
      <c r="J80" s="2">
        <f t="shared" si="17"/>
        <v>3787.9919428416324</v>
      </c>
    </row>
    <row r="81" spans="1:10">
      <c r="A81" s="13">
        <f t="shared" si="19"/>
        <v>2019</v>
      </c>
      <c r="B81" s="3">
        <f t="shared" si="14"/>
        <v>3254</v>
      </c>
      <c r="C81" s="18">
        <v>29322</v>
      </c>
      <c r="D81" s="2" cm="1">
        <f t="array" ref="D81">TREND($C$73:$C$82,$B$73:$B$82,$B81)</f>
        <v>32769.058538807723</v>
      </c>
      <c r="E81" s="2" cm="1">
        <f t="array" ref="E81">GROWTH($C$73:$C$82, $B$73:$B$82,B81)</f>
        <v>30991.176181818621</v>
      </c>
      <c r="F81" s="2">
        <f t="shared" si="15"/>
        <v>32635.56680664032</v>
      </c>
      <c r="G81" s="19"/>
      <c r="H81" s="2">
        <f t="shared" si="16"/>
        <v>3447.0585388077234</v>
      </c>
      <c r="I81" s="2">
        <f t="shared" si="16"/>
        <v>1669.1761818186205</v>
      </c>
      <c r="J81" s="2">
        <f t="shared" si="17"/>
        <v>3313.5668066403196</v>
      </c>
    </row>
    <row r="82" spans="1:10">
      <c r="A82" s="13">
        <f t="shared" si="19"/>
        <v>2020</v>
      </c>
      <c r="B82" s="3">
        <f t="shared" si="14"/>
        <v>1459</v>
      </c>
      <c r="C82" s="18">
        <v>38965</v>
      </c>
      <c r="D82" s="2" cm="1">
        <f t="array" ref="D82">TREND($C$73:$C$82,$B$73:$B$82,$B82)</f>
        <v>35872.968288318902</v>
      </c>
      <c r="E82" s="2" cm="1">
        <f t="array" ref="E82">GROWTH($C$73:$C$82, $B$73:$B$82,B82)</f>
        <v>35636.446052328851</v>
      </c>
      <c r="F82" s="2">
        <f t="shared" si="15"/>
        <v>35825.650261037925</v>
      </c>
      <c r="G82" s="19"/>
      <c r="H82" s="2">
        <f t="shared" si="16"/>
        <v>3092.0317116810984</v>
      </c>
      <c r="I82" s="2">
        <f t="shared" si="16"/>
        <v>3328.5539476711492</v>
      </c>
      <c r="J82" s="2">
        <f t="shared" si="17"/>
        <v>3139.3497389620752</v>
      </c>
    </row>
    <row r="84" spans="1:10">
      <c r="D84" t="s">
        <v>19</v>
      </c>
    </row>
    <row r="85" spans="1:10">
      <c r="D85" cm="1">
        <f t="array" ref="D85:F85">LINEST(_xlfn.ANCHORARRAY(C73),B73:B82^{1,2},TRUE,FALSE)</f>
        <v>1.0509707786660593E-4</v>
      </c>
      <c r="E85">
        <v>-2.2725277950591907</v>
      </c>
      <c r="F85">
        <v>38917.550161219122</v>
      </c>
    </row>
    <row r="87" spans="1:10">
      <c r="D87" s="12"/>
      <c r="E87" s="12" t="s">
        <v>21</v>
      </c>
      <c r="F87" s="12" t="s">
        <v>22</v>
      </c>
      <c r="G87" s="12"/>
      <c r="H87" s="12" t="s">
        <v>23</v>
      </c>
    </row>
    <row r="88" spans="1:10">
      <c r="D88" s="12" t="s">
        <v>24</v>
      </c>
      <c r="E88" s="2">
        <f>AVERAGE(D73:D82)</f>
        <v>33688.300000000003</v>
      </c>
      <c r="F88" s="2">
        <f>AVERAGE(E73:E82)</f>
        <v>32467.462422231671</v>
      </c>
      <c r="G88" s="2"/>
      <c r="H88" s="2">
        <f>AVERAGE(F73:F82)</f>
        <v>33688.299999999996</v>
      </c>
    </row>
    <row r="89" spans="1:10">
      <c r="D89" s="12" t="s">
        <v>25</v>
      </c>
      <c r="E89" s="15">
        <f>MIN(E88:H88)</f>
        <v>32467.462422231671</v>
      </c>
      <c r="F89" s="15"/>
      <c r="G89" s="15"/>
      <c r="H89" s="15"/>
    </row>
    <row r="90" spans="1:10">
      <c r="D90" s="12" t="s">
        <v>26</v>
      </c>
      <c r="E90" s="22" t="str">
        <f ca="1">OFFSET(D87,0,MATCH(E89,E88:H88,0))</f>
        <v>Exponential</v>
      </c>
      <c r="F90" s="23"/>
      <c r="G90" s="23"/>
      <c r="H90" s="24"/>
    </row>
    <row r="92" spans="1:10" ht="18.75">
      <c r="A92" s="68" t="s">
        <v>28</v>
      </c>
      <c r="B92" s="68"/>
      <c r="C92" s="68"/>
    </row>
    <row r="93" spans="1:10">
      <c r="A93" s="10" t="s">
        <v>30</v>
      </c>
      <c r="B93" s="10" t="s">
        <v>34</v>
      </c>
      <c r="C93" s="10" t="s">
        <v>17</v>
      </c>
      <c r="D93" s="11" t="s">
        <v>11</v>
      </c>
      <c r="E93" s="11" t="s">
        <v>12</v>
      </c>
      <c r="F93" s="11" t="s">
        <v>13</v>
      </c>
      <c r="G93" s="11"/>
      <c r="H93" s="12" t="s">
        <v>14</v>
      </c>
      <c r="I93" s="12" t="s">
        <v>15</v>
      </c>
      <c r="J93" s="12" t="s">
        <v>16</v>
      </c>
    </row>
    <row r="94" spans="1:10">
      <c r="A94" s="13">
        <v>2011</v>
      </c>
      <c r="B94" s="3">
        <f>$B73</f>
        <v>4074</v>
      </c>
      <c r="C94" s="18" cm="1">
        <f t="array" ref="C94:C103">H14:H23</f>
        <v>67713</v>
      </c>
      <c r="D94" s="2" cm="1">
        <f t="array" ref="D94">TREND($C$94:$C$103,$B$94:$B$103,$B94)</f>
        <v>62522.434600814398</v>
      </c>
      <c r="E94" s="2" cm="1">
        <f t="array" ref="E94">GROWTH($C$94:$C$103, $B$94:$B$103,B94)</f>
        <v>62475.652135687509</v>
      </c>
      <c r="F94" s="2">
        <f>$D$106*(B94)^2+$E$106*(B94)+$F$106</f>
        <v>62666.650830647312</v>
      </c>
      <c r="G94" s="19"/>
      <c r="H94" s="2">
        <f>ABS($C94-D94)</f>
        <v>5190.5653991856016</v>
      </c>
      <c r="I94" s="2">
        <f>ABS($C94-E94)</f>
        <v>5237.3478643124909</v>
      </c>
      <c r="J94" s="2">
        <f>ABS(C94-F94)</f>
        <v>5046.3491693526885</v>
      </c>
    </row>
    <row r="95" spans="1:10">
      <c r="A95" s="13">
        <f>A94+1</f>
        <v>2012</v>
      </c>
      <c r="B95" s="3">
        <f t="shared" ref="B95:B103" si="20">$B74</f>
        <v>3630</v>
      </c>
      <c r="C95" s="18">
        <v>64054</v>
      </c>
      <c r="D95" s="2" cm="1">
        <f t="array" ref="D95">TREND($C$94:$C$103,$B$94:$B$103,$B95)</f>
        <v>63416.861825761429</v>
      </c>
      <c r="E95" s="2" cm="1">
        <f t="array" ref="E95">GROWTH($C$94:$C$103, $B$94:$B$103,B95)</f>
        <v>63340.319229560686</v>
      </c>
      <c r="F95" s="2">
        <f t="shared" ref="F95:F103" si="21">$D$106*(B95)^2+$E$106*(B95)+$F$106</f>
        <v>63236.247656343228</v>
      </c>
      <c r="G95" s="19"/>
      <c r="H95" s="2">
        <f t="shared" ref="H95:I103" si="22">ABS($C95-D95)</f>
        <v>637.13817423857108</v>
      </c>
      <c r="I95" s="2">
        <f t="shared" si="22"/>
        <v>713.68077043931407</v>
      </c>
      <c r="J95" s="2">
        <f t="shared" ref="J95:J103" si="23">ABS(C95-F95)</f>
        <v>817.7523436567717</v>
      </c>
    </row>
    <row r="96" spans="1:10">
      <c r="A96" s="13">
        <f t="shared" ref="A96:A103" si="24">A95+1</f>
        <v>2013</v>
      </c>
      <c r="B96" s="3">
        <f t="shared" si="20"/>
        <v>4195</v>
      </c>
      <c r="C96" s="18">
        <v>60326</v>
      </c>
      <c r="D96" s="2" cm="1">
        <f t="array" ref="D96">TREND($C$94:$C$103,$B$94:$B$103,$B96)</f>
        <v>62278.683037259019</v>
      </c>
      <c r="E96" s="2" cm="1">
        <f t="array" ref="E96">GROWTH($C$94:$C$103, $B$94:$B$103,B96)</f>
        <v>62242.064399736206</v>
      </c>
      <c r="F96" s="2">
        <f t="shared" si="21"/>
        <v>62531.159154681882</v>
      </c>
      <c r="G96" s="19"/>
      <c r="H96" s="2">
        <f t="shared" si="22"/>
        <v>1952.6830372590193</v>
      </c>
      <c r="I96" s="2">
        <f>ABS($C96-E96)</f>
        <v>1916.0643997362058</v>
      </c>
      <c r="J96" s="2">
        <f t="shared" si="23"/>
        <v>2205.1591546818818</v>
      </c>
    </row>
    <row r="97" spans="1:10">
      <c r="A97" s="13">
        <f t="shared" si="24"/>
        <v>2014</v>
      </c>
      <c r="B97" s="3">
        <f t="shared" si="20"/>
        <v>4345</v>
      </c>
      <c r="C97" s="18">
        <v>61552</v>
      </c>
      <c r="D97" s="2" cm="1">
        <f t="array" ref="D97">TREND($C$94:$C$103,$B$94:$B$103,$B97)</f>
        <v>61976.511677479619</v>
      </c>
      <c r="E97" s="2" cm="1">
        <f t="array" ref="E97">GROWTH($C$94:$C$103, $B$94:$B$103,B97)</f>
        <v>61953.704872670904</v>
      </c>
      <c r="F97" s="2">
        <f t="shared" si="21"/>
        <v>62374.929513209747</v>
      </c>
      <c r="G97" s="19"/>
      <c r="H97" s="2">
        <f t="shared" si="22"/>
        <v>424.51167747961881</v>
      </c>
      <c r="I97" s="2">
        <f t="shared" si="22"/>
        <v>401.70487267090357</v>
      </c>
      <c r="J97" s="2">
        <f t="shared" si="23"/>
        <v>822.9295132097468</v>
      </c>
    </row>
    <row r="98" spans="1:10">
      <c r="A98" s="13">
        <f t="shared" si="24"/>
        <v>2015</v>
      </c>
      <c r="B98" s="3">
        <f t="shared" si="20"/>
        <v>1285</v>
      </c>
      <c r="C98" s="18">
        <v>70109</v>
      </c>
      <c r="D98" s="2" cm="1">
        <f t="array" ref="D98">TREND($C$94:$C$103,$B$94:$B$103,$B98)</f>
        <v>68140.807416979398</v>
      </c>
      <c r="E98" s="2" cm="1">
        <f t="array" ref="E98">GROWTH($C$94:$C$103, $B$94:$B$103,B98)</f>
        <v>68109.561613276455</v>
      </c>
      <c r="F98" s="2">
        <f t="shared" si="21"/>
        <v>68132.68264494944</v>
      </c>
      <c r="G98" s="19"/>
      <c r="H98" s="2">
        <f t="shared" si="22"/>
        <v>1968.1925830206019</v>
      </c>
      <c r="I98" s="2">
        <f t="shared" si="22"/>
        <v>1999.4383867235447</v>
      </c>
      <c r="J98" s="2">
        <f t="shared" si="23"/>
        <v>1976.3173550505599</v>
      </c>
    </row>
    <row r="99" spans="1:10">
      <c r="A99" s="13">
        <f t="shared" si="24"/>
        <v>2016</v>
      </c>
      <c r="B99" s="3">
        <f t="shared" si="20"/>
        <v>2729</v>
      </c>
      <c r="C99" s="18">
        <v>63905</v>
      </c>
      <c r="D99" s="2" cm="1">
        <f t="array" ref="D99">TREND($C$94:$C$103,$B$94:$B$103,$B99)</f>
        <v>65231.904460169695</v>
      </c>
      <c r="E99" s="2" cm="1">
        <f t="array" ref="E99">GROWTH($C$94:$C$103, $B$94:$B$103,B99)</f>
        <v>65131.927164814762</v>
      </c>
      <c r="F99" s="2">
        <f t="shared" si="21"/>
        <v>64741.966153424903</v>
      </c>
      <c r="G99" s="19"/>
      <c r="H99" s="2">
        <f t="shared" si="22"/>
        <v>1326.9044601696951</v>
      </c>
      <c r="I99" s="2">
        <f>ABS($C99-E99)</f>
        <v>1226.9271648147624</v>
      </c>
      <c r="J99" s="2">
        <f t="shared" si="23"/>
        <v>836.96615342490259</v>
      </c>
    </row>
    <row r="100" spans="1:10">
      <c r="A100" s="13">
        <f t="shared" si="24"/>
        <v>2017</v>
      </c>
      <c r="B100" s="3">
        <f t="shared" si="20"/>
        <v>1626</v>
      </c>
      <c r="C100" s="18">
        <v>69348</v>
      </c>
      <c r="D100" s="2" cm="1">
        <f t="array" ref="D100">TREND($C$94:$C$103,$B$94:$B$103,$B100)</f>
        <v>67453.871192414226</v>
      </c>
      <c r="E100" s="2" cm="1">
        <f t="array" ref="E100">GROWTH($C$94:$C$103, $B$94:$B$103,B100)</f>
        <v>67394.34239148951</v>
      </c>
      <c r="F100" s="2">
        <f t="shared" si="21"/>
        <v>67223.3834278055</v>
      </c>
      <c r="G100" s="19"/>
      <c r="H100" s="2">
        <f t="shared" si="22"/>
        <v>1894.1288075857738</v>
      </c>
      <c r="I100" s="2">
        <f t="shared" si="22"/>
        <v>1953.6576085104898</v>
      </c>
      <c r="J100" s="2">
        <f t="shared" si="23"/>
        <v>2124.6165721944999</v>
      </c>
    </row>
    <row r="101" spans="1:10">
      <c r="A101" s="13">
        <f t="shared" si="24"/>
        <v>2018</v>
      </c>
      <c r="B101" s="3">
        <f t="shared" si="20"/>
        <v>627</v>
      </c>
      <c r="C101" s="18">
        <v>68303</v>
      </c>
      <c r="D101" s="2" cm="1">
        <f t="array" ref="D101">TREND($C$94:$C$103,$B$94:$B$103,$B101)</f>
        <v>69466.332448545043</v>
      </c>
      <c r="E101" s="2" cm="1">
        <f t="array" ref="E101">GROWTH($C$94:$C$103, $B$94:$B$103,B101)</f>
        <v>69511.186549381455</v>
      </c>
      <c r="F101" s="2">
        <f t="shared" si="21"/>
        <v>70077.051503357972</v>
      </c>
      <c r="G101" s="19"/>
      <c r="H101" s="2">
        <f t="shared" si="22"/>
        <v>1163.332448545043</v>
      </c>
      <c r="I101" s="2">
        <f t="shared" si="22"/>
        <v>1208.1865493814548</v>
      </c>
      <c r="J101" s="2">
        <f t="shared" si="23"/>
        <v>1774.0515033579723</v>
      </c>
    </row>
    <row r="102" spans="1:10">
      <c r="A102" s="13">
        <f t="shared" si="24"/>
        <v>2019</v>
      </c>
      <c r="B102" s="3">
        <f t="shared" si="20"/>
        <v>3254</v>
      </c>
      <c r="C102" s="18">
        <v>59915</v>
      </c>
      <c r="D102" s="2" cm="1">
        <f t="array" ref="D102">TREND($C$94:$C$103,$B$94:$B$103,$B102)</f>
        <v>64174.304700941793</v>
      </c>
      <c r="E102" s="2" cm="1">
        <f t="array" ref="E102">GROWTH($C$94:$C$103, $B$94:$B$103,B102)</f>
        <v>64081.911456622256</v>
      </c>
      <c r="F102" s="2">
        <f t="shared" si="21"/>
        <v>63807.617814665791</v>
      </c>
      <c r="G102" s="19"/>
      <c r="H102" s="2">
        <f t="shared" si="22"/>
        <v>4259.3047009417933</v>
      </c>
      <c r="I102" s="2">
        <f t="shared" si="22"/>
        <v>4166.9114566222561</v>
      </c>
      <c r="J102" s="2">
        <f t="shared" si="23"/>
        <v>3892.6178146657912</v>
      </c>
    </row>
    <row r="103" spans="1:10">
      <c r="A103" s="13">
        <f t="shared" si="24"/>
        <v>2020</v>
      </c>
      <c r="B103" s="3">
        <f t="shared" si="20"/>
        <v>1459</v>
      </c>
      <c r="C103" s="18">
        <v>67227</v>
      </c>
      <c r="D103" s="2" cm="1">
        <f t="array" ref="D103">TREND($C$94:$C$103,$B$94:$B$103,$B103)</f>
        <v>67790.288639635299</v>
      </c>
      <c r="E103" s="2" cm="1">
        <f t="array" ref="E103">GROWTH($C$94:$C$103, $B$94:$B$103,B103)</f>
        <v>67743.667696984005</v>
      </c>
      <c r="F103" s="2">
        <f t="shared" si="21"/>
        <v>67660.311300914254</v>
      </c>
      <c r="G103" s="19"/>
      <c r="H103" s="2">
        <f t="shared" si="22"/>
        <v>563.28863963529875</v>
      </c>
      <c r="I103" s="2">
        <f t="shared" si="22"/>
        <v>516.66769698400458</v>
      </c>
      <c r="J103" s="2">
        <f t="shared" si="23"/>
        <v>433.31130091425439</v>
      </c>
    </row>
    <row r="105" spans="1:10">
      <c r="D105" t="s">
        <v>19</v>
      </c>
    </row>
    <row r="106" spans="1:10">
      <c r="D106" cm="1">
        <f t="array" ref="D106:F106">LINEST(_xlfn.ANCHORARRAY(C94),B94:B103^{1,2},TRUE,FALSE)</f>
        <v>2.8868994067203453E-4</v>
      </c>
      <c r="E106">
        <v>-3.50694303648672</v>
      </c>
      <c r="F106">
        <v>72162.412399548688</v>
      </c>
    </row>
    <row r="108" spans="1:10">
      <c r="D108" s="12"/>
      <c r="E108" s="12" t="s">
        <v>21</v>
      </c>
      <c r="F108" s="12" t="s">
        <v>22</v>
      </c>
      <c r="G108" s="12"/>
      <c r="H108" s="12" t="s">
        <v>23</v>
      </c>
    </row>
    <row r="109" spans="1:10">
      <c r="D109" s="12" t="s">
        <v>24</v>
      </c>
      <c r="E109" s="2">
        <f>AVERAGE(D94:D103)</f>
        <v>65245.19999999999</v>
      </c>
      <c r="F109" s="2">
        <f>AVERAGE(E94:E103)</f>
        <v>65198.433751022385</v>
      </c>
      <c r="G109" s="2"/>
      <c r="H109" s="2">
        <f>AVERAGE(F94:F103)</f>
        <v>65245.2</v>
      </c>
    </row>
    <row r="110" spans="1:10">
      <c r="D110" s="12" t="s">
        <v>25</v>
      </c>
      <c r="E110" s="15">
        <f>MIN(E109:H109)</f>
        <v>65198.433751022385</v>
      </c>
      <c r="F110" s="15"/>
      <c r="G110" s="15"/>
      <c r="H110" s="15"/>
    </row>
    <row r="111" spans="1:10">
      <c r="D111" s="12" t="s">
        <v>26</v>
      </c>
      <c r="E111" s="22" t="str">
        <f ca="1">OFFSET(D108,0,MATCH(E110,E109:H109,0))</f>
        <v>Exponential</v>
      </c>
      <c r="F111" s="23"/>
      <c r="G111" s="23"/>
      <c r="H111" s="24"/>
    </row>
    <row r="115" spans="1:10" ht="18.75">
      <c r="A115" s="68" t="s">
        <v>29</v>
      </c>
      <c r="B115" s="68"/>
      <c r="C115" s="68"/>
    </row>
    <row r="116" spans="1:10">
      <c r="A116" s="10" t="s">
        <v>30</v>
      </c>
      <c r="B116" s="10" t="s">
        <v>35</v>
      </c>
      <c r="C116" s="10" t="s">
        <v>17</v>
      </c>
      <c r="D116" s="11" t="s">
        <v>11</v>
      </c>
      <c r="E116" s="11" t="s">
        <v>12</v>
      </c>
      <c r="F116" s="11" t="s">
        <v>13</v>
      </c>
      <c r="G116" s="11"/>
      <c r="H116" s="12" t="s">
        <v>14</v>
      </c>
      <c r="I116" s="12" t="s">
        <v>15</v>
      </c>
      <c r="J116" s="12" t="s">
        <v>16</v>
      </c>
    </row>
    <row r="117" spans="1:10">
      <c r="A117" s="13">
        <v>2011</v>
      </c>
      <c r="B117" s="3">
        <f t="shared" ref="B117:B126" si="25">ABS($F4-$F14)</f>
        <v>1871</v>
      </c>
      <c r="C117" s="18" cm="1">
        <f t="array" ref="C117:C126">H4:H13</f>
        <v>13552</v>
      </c>
      <c r="D117" s="2" cm="1">
        <f t="array" ref="D117">TREND($C$117:$C$126,$B$117:$B$126,$B117)</f>
        <v>32675.076072043747</v>
      </c>
      <c r="E117" s="2" cm="1">
        <f t="array" ref="E117">GROWTH($C$117:$C$126, $B$117:$B$126,B117)</f>
        <v>30782.169611209552</v>
      </c>
      <c r="F117" s="2">
        <f>$D$129*(B117)^2+$E$129*(B117)+$F$129</f>
        <v>32678.837971294452</v>
      </c>
      <c r="G117" s="19"/>
      <c r="H117" s="2">
        <f>ABS($C117-D117)</f>
        <v>19123.076072043747</v>
      </c>
      <c r="I117" s="2">
        <f>ABS($C117-E117)</f>
        <v>17230.169611209552</v>
      </c>
      <c r="J117" s="2">
        <f>ABS(C117-F117)</f>
        <v>19126.837971294452</v>
      </c>
    </row>
    <row r="118" spans="1:10">
      <c r="A118" s="13">
        <f>A117+1</f>
        <v>2012</v>
      </c>
      <c r="B118" s="3">
        <f t="shared" si="25"/>
        <v>2025</v>
      </c>
      <c r="C118" s="18">
        <v>39946</v>
      </c>
      <c r="D118" s="2" cm="1">
        <f t="array" ref="D118">TREND($C$117:$C$126,$B$117:$B$126,$B118)</f>
        <v>32361.875580463529</v>
      </c>
      <c r="E118" s="2" cm="1">
        <f t="array" ref="E118">GROWTH($C$117:$C$126, $B$117:$B$126,B118)</f>
        <v>30327.59527704904</v>
      </c>
      <c r="F118" s="2">
        <f t="shared" ref="F118:F126" si="26">$D$129*(B118)^2+$E$129*(B118)+$F$129</f>
        <v>32381.768007223018</v>
      </c>
      <c r="G118" s="19"/>
      <c r="H118" s="2">
        <f t="shared" ref="H118:I126" si="27">ABS($C118-D118)</f>
        <v>7584.1244195364707</v>
      </c>
      <c r="I118" s="2">
        <f t="shared" si="27"/>
        <v>9618.4047229509597</v>
      </c>
      <c r="J118" s="2">
        <f t="shared" ref="J118:J126" si="28">ABS(C118-F118)</f>
        <v>7564.2319927769822</v>
      </c>
    </row>
    <row r="119" spans="1:10">
      <c r="A119" s="13">
        <f t="shared" ref="A119:A126" si="29">A118+1</f>
        <v>2013</v>
      </c>
      <c r="B119" s="3">
        <f t="shared" si="25"/>
        <v>575</v>
      </c>
      <c r="C119" s="18">
        <v>43000</v>
      </c>
      <c r="D119" s="2" cm="1">
        <f t="array" ref="D119">TREND($C$117:$C$126,$B$117:$B$126,$B119)</f>
        <v>35310.841247939585</v>
      </c>
      <c r="E119" s="2" cm="1">
        <f t="array" ref="E119">GROWTH($C$117:$C$126, $B$117:$B$126,B119)</f>
        <v>34887.868000419214</v>
      </c>
      <c r="F119" s="2">
        <f t="shared" si="26"/>
        <v>35308.774669403203</v>
      </c>
      <c r="G119" s="19"/>
      <c r="H119" s="2">
        <f t="shared" si="27"/>
        <v>7689.1587520604153</v>
      </c>
      <c r="I119" s="2">
        <f>ABS($C119-E119)</f>
        <v>8112.1319995807862</v>
      </c>
      <c r="J119" s="2">
        <f t="shared" si="28"/>
        <v>7691.225330596797</v>
      </c>
    </row>
    <row r="120" spans="1:10">
      <c r="A120" s="13">
        <f t="shared" si="29"/>
        <v>2014</v>
      </c>
      <c r="B120" s="3">
        <f t="shared" si="25"/>
        <v>1413</v>
      </c>
      <c r="C120" s="18">
        <v>33330</v>
      </c>
      <c r="D120" s="2" cm="1">
        <f t="array" ref="D120">TREND($C$117:$C$126,$B$117:$B$126,$B120)</f>
        <v>33606.54246908101</v>
      </c>
      <c r="E120" s="2" cm="1">
        <f t="array" ref="E120">GROWTH($C$117:$C$126, $B$117:$B$126,B120)</f>
        <v>32174.748088391196</v>
      </c>
      <c r="F120" s="2">
        <f t="shared" si="26"/>
        <v>33581.710150712293</v>
      </c>
      <c r="G120" s="19"/>
      <c r="H120" s="2">
        <f t="shared" si="27"/>
        <v>276.54246908101049</v>
      </c>
      <c r="I120" s="2">
        <f t="shared" si="27"/>
        <v>1155.2519116088042</v>
      </c>
      <c r="J120" s="2">
        <f t="shared" si="28"/>
        <v>251.7101507122934</v>
      </c>
    </row>
    <row r="121" spans="1:10">
      <c r="A121" s="13">
        <f t="shared" si="29"/>
        <v>2015</v>
      </c>
      <c r="B121" s="3">
        <f t="shared" si="25"/>
        <v>449</v>
      </c>
      <c r="C121" s="18">
        <v>36611</v>
      </c>
      <c r="D121" s="2" cm="1">
        <f t="array" ref="D121">TREND($C$117:$C$126,$B$117:$B$126,$B121)</f>
        <v>35567.096195596125</v>
      </c>
      <c r="E121" s="2" cm="1">
        <f t="array" ref="E121">GROWTH($C$117:$C$126, $B$117:$B$126,B121)</f>
        <v>35315.138078202202</v>
      </c>
      <c r="F121" s="2">
        <f t="shared" si="26"/>
        <v>35576.850096391317</v>
      </c>
      <c r="G121" s="19"/>
      <c r="H121" s="2">
        <f t="shared" si="27"/>
        <v>1043.9038044038753</v>
      </c>
      <c r="I121" s="2">
        <f t="shared" si="27"/>
        <v>1295.8619217977975</v>
      </c>
      <c r="J121" s="2">
        <f t="shared" si="28"/>
        <v>1034.1499036086825</v>
      </c>
    </row>
    <row r="122" spans="1:10">
      <c r="A122" s="13">
        <f t="shared" si="29"/>
        <v>2016</v>
      </c>
      <c r="B122" s="3">
        <f t="shared" si="25"/>
        <v>431</v>
      </c>
      <c r="C122" s="18">
        <v>27769</v>
      </c>
      <c r="D122" s="2" cm="1">
        <f t="array" ref="D122">TREND($C$117:$C$126,$B$117:$B$126,$B122)</f>
        <v>35603.704045261344</v>
      </c>
      <c r="E122" s="2" cm="1">
        <f t="array" ref="E122">GROWTH($C$117:$C$126, $B$117:$B$126,B122)</f>
        <v>35376.602338280209</v>
      </c>
      <c r="F122" s="2">
        <f t="shared" si="26"/>
        <v>35615.325785048124</v>
      </c>
      <c r="G122" s="19"/>
      <c r="H122" s="2">
        <f t="shared" si="27"/>
        <v>7834.7040452613437</v>
      </c>
      <c r="I122" s="2">
        <f t="shared" si="27"/>
        <v>7607.6023382802086</v>
      </c>
      <c r="J122" s="2">
        <f t="shared" si="28"/>
        <v>7846.3257850481241</v>
      </c>
    </row>
    <row r="123" spans="1:10">
      <c r="A123" s="13">
        <f t="shared" si="29"/>
        <v>2017</v>
      </c>
      <c r="B123" s="3">
        <f t="shared" si="25"/>
        <v>1987</v>
      </c>
      <c r="C123" s="18">
        <v>40642</v>
      </c>
      <c r="D123" s="2" cm="1">
        <f t="array" ref="D123">TREND($C$117:$C$126,$B$117:$B$126,$B123)</f>
        <v>32439.158818645661</v>
      </c>
      <c r="E123" s="2" cm="1">
        <f t="array" ref="E123">GROWTH($C$117:$C$126, $B$117:$B$126,B123)</f>
        <v>30439.135258367121</v>
      </c>
      <c r="F123" s="2">
        <f t="shared" si="26"/>
        <v>32454.766236305761</v>
      </c>
      <c r="G123" s="19"/>
      <c r="H123" s="2">
        <f t="shared" si="27"/>
        <v>8202.8411813543389</v>
      </c>
      <c r="I123" s="2">
        <f t="shared" si="27"/>
        <v>10202.864741632879</v>
      </c>
      <c r="J123" s="2">
        <f t="shared" si="28"/>
        <v>8187.2337636942393</v>
      </c>
    </row>
    <row r="124" spans="1:10">
      <c r="A124" s="13">
        <f t="shared" si="29"/>
        <v>2018</v>
      </c>
      <c r="B124" s="3">
        <f t="shared" si="25"/>
        <v>1784</v>
      </c>
      <c r="C124" s="18">
        <v>33746</v>
      </c>
      <c r="D124" s="2" cm="1">
        <f t="array" ref="D124">TREND($C$117:$C$126,$B$117:$B$126,$B124)</f>
        <v>32852.01401209231</v>
      </c>
      <c r="E124" s="2" cm="1">
        <f t="array" ref="E124">GROWTH($C$117:$C$126, $B$117:$B$126,B124)</f>
        <v>31041.979953578211</v>
      </c>
      <c r="F124" s="2">
        <f t="shared" si="26"/>
        <v>32848.112773723034</v>
      </c>
      <c r="G124" s="19"/>
      <c r="H124" s="2">
        <f t="shared" si="27"/>
        <v>893.98598790769029</v>
      </c>
      <c r="I124" s="2">
        <f t="shared" si="27"/>
        <v>2704.0200464217887</v>
      </c>
      <c r="J124" s="2">
        <f t="shared" si="28"/>
        <v>897.88722627696552</v>
      </c>
    </row>
    <row r="125" spans="1:10">
      <c r="A125" s="13">
        <f t="shared" si="29"/>
        <v>2019</v>
      </c>
      <c r="B125" s="3">
        <f t="shared" si="25"/>
        <v>1764</v>
      </c>
      <c r="C125" s="18">
        <v>29322</v>
      </c>
      <c r="D125" s="2" cm="1">
        <f t="array" ref="D125">TREND($C$117:$C$126,$B$117:$B$126,$B125)</f>
        <v>32892.689400609219</v>
      </c>
      <c r="E125" s="2" cm="1">
        <f t="array" ref="E125">GROWTH($C$117:$C$126, $B$117:$B$126,B125)</f>
        <v>31102.015797918051</v>
      </c>
      <c r="F125" s="2">
        <f t="shared" si="26"/>
        <v>32887.174471271326</v>
      </c>
      <c r="G125" s="19"/>
      <c r="H125" s="2">
        <f t="shared" si="27"/>
        <v>3570.6894006092189</v>
      </c>
      <c r="I125" s="2">
        <f t="shared" si="27"/>
        <v>1780.0157979180512</v>
      </c>
      <c r="J125" s="2">
        <f t="shared" si="28"/>
        <v>3565.1744712713262</v>
      </c>
    </row>
    <row r="126" spans="1:10">
      <c r="A126" s="13">
        <f t="shared" si="29"/>
        <v>2020</v>
      </c>
      <c r="B126" s="3">
        <f t="shared" si="25"/>
        <v>1429</v>
      </c>
      <c r="C126" s="18">
        <v>38965</v>
      </c>
      <c r="D126" s="2" cm="1">
        <f t="array" ref="D126">TREND($C$117:$C$126,$B$117:$B$126,$B126)</f>
        <v>33574.002158267482</v>
      </c>
      <c r="E126" s="2" cm="1">
        <f t="array" ref="E126">GROWTH($C$117:$C$126, $B$117:$B$126,B126)</f>
        <v>32125.053269111693</v>
      </c>
      <c r="F126" s="2">
        <f t="shared" si="26"/>
        <v>33549.679838627511</v>
      </c>
      <c r="G126" s="19"/>
      <c r="H126" s="2">
        <f t="shared" si="27"/>
        <v>5390.9978417325183</v>
      </c>
      <c r="I126" s="2">
        <f t="shared" si="27"/>
        <v>6839.9467308883068</v>
      </c>
      <c r="J126" s="2">
        <f t="shared" si="28"/>
        <v>5415.3201613724887</v>
      </c>
    </row>
    <row r="128" spans="1:10">
      <c r="D128" s="1" t="s">
        <v>19</v>
      </c>
    </row>
    <row r="129" spans="1:10">
      <c r="D129" cm="1">
        <f t="array" ref="D129:F129">LINEST(_xlfn.ANCHORARRAY(C117),B117:B126^{1,2},TRUE,FALSE)</f>
        <v>6.9135450261250208E-5</v>
      </c>
      <c r="E129">
        <v>-2.1983774549414461</v>
      </c>
      <c r="F129">
        <v>36549.983797751906</v>
      </c>
    </row>
    <row r="131" spans="1:10">
      <c r="D131" s="12"/>
      <c r="E131" s="12" t="s">
        <v>21</v>
      </c>
      <c r="F131" s="12" t="s">
        <v>22</v>
      </c>
      <c r="G131" s="12"/>
      <c r="H131" s="12" t="s">
        <v>23</v>
      </c>
    </row>
    <row r="132" spans="1:10">
      <c r="D132" s="12" t="s">
        <v>24</v>
      </c>
      <c r="E132" s="2">
        <f>AVERAGE(D117:D126)</f>
        <v>33688.300000000003</v>
      </c>
      <c r="F132" s="2">
        <f>AVERAGE(E117:E126)</f>
        <v>32357.230567252649</v>
      </c>
      <c r="G132" s="2"/>
      <c r="H132" s="21">
        <f>AVERAGE(F117:F126)</f>
        <v>33688.300000000003</v>
      </c>
    </row>
    <row r="133" spans="1:10">
      <c r="D133" s="12" t="s">
        <v>25</v>
      </c>
      <c r="E133" s="15">
        <f>MIN(E132:H132)</f>
        <v>32357.230567252649</v>
      </c>
      <c r="F133" s="15"/>
      <c r="G133" s="15"/>
      <c r="H133" s="15"/>
    </row>
    <row r="134" spans="1:10">
      <c r="D134" s="12" t="s">
        <v>26</v>
      </c>
      <c r="E134" s="22" t="str">
        <f ca="1">OFFSET(D131,0,MATCH(E133,E132:H132,0))</f>
        <v>Exponential</v>
      </c>
      <c r="F134" s="23"/>
      <c r="G134" s="23"/>
      <c r="H134" s="24"/>
    </row>
    <row r="136" spans="1:10" ht="18.75">
      <c r="A136" s="68" t="s">
        <v>31</v>
      </c>
      <c r="B136" s="68"/>
      <c r="C136" s="68"/>
    </row>
    <row r="137" spans="1:10">
      <c r="A137" s="10" t="s">
        <v>30</v>
      </c>
      <c r="B137" s="10" t="s">
        <v>35</v>
      </c>
      <c r="C137" s="10" t="s">
        <v>17</v>
      </c>
      <c r="D137" s="11" t="s">
        <v>11</v>
      </c>
      <c r="E137" s="11" t="s">
        <v>12</v>
      </c>
      <c r="F137" s="11" t="s">
        <v>13</v>
      </c>
      <c r="G137" s="11"/>
      <c r="H137" s="12" t="s">
        <v>14</v>
      </c>
      <c r="I137" s="12" t="s">
        <v>15</v>
      </c>
      <c r="J137" s="12" t="s">
        <v>16</v>
      </c>
    </row>
    <row r="138" spans="1:10">
      <c r="A138" s="13">
        <v>2011</v>
      </c>
      <c r="B138" s="3">
        <f>$B117</f>
        <v>1871</v>
      </c>
      <c r="C138" s="18" cm="1">
        <f t="array" ref="C138:C147">H14:H23</f>
        <v>67713</v>
      </c>
      <c r="D138" s="2" cm="1">
        <f t="array" ref="D138">TREND($C$138:$C$147,$B$138:$B$147,$B138)</f>
        <v>65616.88898513859</v>
      </c>
      <c r="E138" s="2" cm="1">
        <f t="array" ref="E138">GROWTH($C$138:$C$147, $B$138:$B$147,B138)</f>
        <v>65530.464768608123</v>
      </c>
      <c r="F138" s="2">
        <f>$D$150*(B138)^2+$E$150*(B138)+$F$150</f>
        <v>65884.971328766289</v>
      </c>
      <c r="G138" s="19"/>
      <c r="H138" s="2">
        <f>ABS($C138-D138)</f>
        <v>2096.1110148614098</v>
      </c>
      <c r="I138" s="2">
        <f>ABS($C138-E138)</f>
        <v>2182.5352313918775</v>
      </c>
      <c r="J138" s="2">
        <f>ABS(C138-F138)</f>
        <v>1828.0286712337111</v>
      </c>
    </row>
    <row r="139" spans="1:10">
      <c r="A139" s="13">
        <f>A138+1</f>
        <v>2012</v>
      </c>
      <c r="B139" s="3">
        <f t="shared" ref="B139:B147" si="30">$B118</f>
        <v>2025</v>
      </c>
      <c r="C139" s="18">
        <v>64054</v>
      </c>
      <c r="D139" s="2" cm="1">
        <f t="array" ref="D139">TREND($C$138:$C$147,$B$138:$B$147,$B139)</f>
        <v>65731.782810331977</v>
      </c>
      <c r="E139" s="2" cm="1">
        <f t="array" ref="E139">GROWTH($C$138:$C$147, $B$138:$B$147,B139)</f>
        <v>65650.004113140822</v>
      </c>
      <c r="F139" s="2">
        <f t="shared" ref="F139:F147" si="31">$D$150*(B139)^2+$E$150*(B139)+$F$150</f>
        <v>67149.366863154646</v>
      </c>
      <c r="G139" s="19"/>
      <c r="H139" s="2">
        <f t="shared" ref="H139:I147" si="32">ABS($C139-D139)</f>
        <v>1677.7828103319771</v>
      </c>
      <c r="I139" s="2">
        <f t="shared" si="32"/>
        <v>1596.0041131408216</v>
      </c>
      <c r="J139" s="2">
        <f t="shared" ref="J139:J147" si="33">ABS(C139-F139)</f>
        <v>3095.3668631546461</v>
      </c>
    </row>
    <row r="140" spans="1:10">
      <c r="A140" s="13">
        <f t="shared" ref="A140:A147" si="34">A139+1</f>
        <v>2013</v>
      </c>
      <c r="B140" s="3">
        <f t="shared" si="30"/>
        <v>575</v>
      </c>
      <c r="C140" s="18">
        <v>60326</v>
      </c>
      <c r="D140" s="2" cm="1">
        <f t="array" ref="D140">TREND($C$138:$C$147,$B$138:$B$147,$B140)</f>
        <v>64649.990300394267</v>
      </c>
      <c r="E140" s="2" cm="1">
        <f t="array" ref="E140">GROWTH($C$138:$C$147, $B$138:$B$147,B140)</f>
        <v>64533.056221719489</v>
      </c>
      <c r="F140" s="2">
        <f t="shared" si="31"/>
        <v>64502.720748392916</v>
      </c>
      <c r="G140" s="19"/>
      <c r="H140" s="2">
        <f t="shared" si="32"/>
        <v>4323.9903003942673</v>
      </c>
      <c r="I140" s="2">
        <f>ABS($C140-E140)</f>
        <v>4207.0562217194893</v>
      </c>
      <c r="J140" s="2">
        <f t="shared" si="33"/>
        <v>4176.720748392916</v>
      </c>
    </row>
    <row r="141" spans="1:10">
      <c r="A141" s="13">
        <f t="shared" si="34"/>
        <v>2014</v>
      </c>
      <c r="B141" s="3">
        <f t="shared" si="30"/>
        <v>1413</v>
      </c>
      <c r="C141" s="18">
        <v>61552</v>
      </c>
      <c r="D141" s="2" cm="1">
        <f t="array" ref="D141">TREND($C$138:$C$147,$B$138:$B$147,$B141)</f>
        <v>65275.191764758267</v>
      </c>
      <c r="E141" s="2" cm="1">
        <f t="array" ref="E141">GROWTH($C$138:$C$147, $B$138:$B$147,B141)</f>
        <v>65176.236383502983</v>
      </c>
      <c r="F141" s="2">
        <f t="shared" si="31"/>
        <v>63505.578688398688</v>
      </c>
      <c r="G141" s="19"/>
      <c r="H141" s="2">
        <f t="shared" si="32"/>
        <v>3723.1917647582668</v>
      </c>
      <c r="I141" s="2">
        <f t="shared" si="32"/>
        <v>3624.2363835029828</v>
      </c>
      <c r="J141" s="2">
        <f t="shared" si="33"/>
        <v>1953.5786883986875</v>
      </c>
    </row>
    <row r="142" spans="1:10">
      <c r="A142" s="13">
        <f t="shared" si="34"/>
        <v>2015</v>
      </c>
      <c r="B142" s="3">
        <f t="shared" si="30"/>
        <v>449</v>
      </c>
      <c r="C142" s="18">
        <v>70109</v>
      </c>
      <c r="D142" s="2" cm="1">
        <f t="array" ref="D142">TREND($C$138:$C$147,$B$138:$B$147,$B142)</f>
        <v>64555.986261599675</v>
      </c>
      <c r="E142" s="2" cm="1">
        <f t="array" ref="E142">GROWTH($C$138:$C$147, $B$138:$B$147,B142)</f>
        <v>64436.899398768423</v>
      </c>
      <c r="F142" s="2">
        <f t="shared" si="31"/>
        <v>65251.073612542394</v>
      </c>
      <c r="G142" s="19"/>
      <c r="H142" s="2">
        <f t="shared" si="32"/>
        <v>5553.0137384003247</v>
      </c>
      <c r="I142" s="2">
        <f t="shared" si="32"/>
        <v>5672.1006012315775</v>
      </c>
      <c r="J142" s="2">
        <f t="shared" si="33"/>
        <v>4857.9263874576063</v>
      </c>
    </row>
    <row r="143" spans="1:10">
      <c r="A143" s="13">
        <f t="shared" si="34"/>
        <v>2016</v>
      </c>
      <c r="B143" s="3">
        <f t="shared" si="30"/>
        <v>431</v>
      </c>
      <c r="C143" s="18">
        <v>63905</v>
      </c>
      <c r="D143" s="2" cm="1">
        <f t="array" ref="D143">TREND($C$138:$C$147,$B$138:$B$147,$B143)</f>
        <v>64542.557113200455</v>
      </c>
      <c r="E143" s="2" cm="1">
        <f t="array" ref="E143">GROWTH($C$138:$C$147, $B$138:$B$147,B143)</f>
        <v>64423.174410880194</v>
      </c>
      <c r="F143" s="2">
        <f t="shared" si="31"/>
        <v>65370.75133942438</v>
      </c>
      <c r="G143" s="19"/>
      <c r="H143" s="2">
        <f t="shared" si="32"/>
        <v>637.55711320045521</v>
      </c>
      <c r="I143" s="2">
        <f>ABS($C143-E143)</f>
        <v>518.17441088019405</v>
      </c>
      <c r="J143" s="2">
        <f t="shared" si="33"/>
        <v>1465.7513394243797</v>
      </c>
    </row>
    <row r="144" spans="1:10">
      <c r="A144" s="13">
        <f t="shared" si="34"/>
        <v>2017</v>
      </c>
      <c r="B144" s="3">
        <f t="shared" si="30"/>
        <v>1987</v>
      </c>
      <c r="C144" s="18">
        <v>69348</v>
      </c>
      <c r="D144" s="2" cm="1">
        <f t="array" ref="D144">TREND($C$138:$C$147,$B$138:$B$147,$B144)</f>
        <v>65703.432385933615</v>
      </c>
      <c r="E144" s="2" cm="1">
        <f t="array" ref="E144">GROWTH($C$138:$C$147, $B$138:$B$147,B144)</f>
        <v>65620.487142015045</v>
      </c>
      <c r="F144" s="2">
        <f t="shared" si="31"/>
        <v>66815.655979776944</v>
      </c>
      <c r="G144" s="19"/>
      <c r="H144" s="2">
        <f t="shared" si="32"/>
        <v>3644.5676140663854</v>
      </c>
      <c r="I144" s="2">
        <f t="shared" si="32"/>
        <v>3727.5128579849552</v>
      </c>
      <c r="J144" s="2">
        <f t="shared" si="33"/>
        <v>2532.3440202230558</v>
      </c>
    </row>
    <row r="145" spans="1:15">
      <c r="A145" s="13">
        <f t="shared" si="34"/>
        <v>2018</v>
      </c>
      <c r="B145" s="3">
        <f t="shared" si="30"/>
        <v>1784</v>
      </c>
      <c r="C145" s="18">
        <v>68303</v>
      </c>
      <c r="D145" s="2" cm="1">
        <f t="array" ref="D145">TREND($C$138:$C$147,$B$138:$B$147,$B145)</f>
        <v>65551.981434542337</v>
      </c>
      <c r="E145" s="2" cm="1">
        <f t="array" ref="E145">GROWTH($C$138:$C$147, $B$138:$B$147,B145)</f>
        <v>65463.029043672686</v>
      </c>
      <c r="F145" s="2">
        <f t="shared" si="31"/>
        <v>65273.969437041349</v>
      </c>
      <c r="G145" s="19"/>
      <c r="H145" s="2">
        <f t="shared" si="32"/>
        <v>2751.0185654576635</v>
      </c>
      <c r="I145" s="2">
        <f t="shared" si="32"/>
        <v>2839.9709563273136</v>
      </c>
      <c r="J145" s="2">
        <f t="shared" si="33"/>
        <v>3029.030562958651</v>
      </c>
    </row>
    <row r="146" spans="1:15">
      <c r="A146" s="13">
        <f t="shared" si="34"/>
        <v>2019</v>
      </c>
      <c r="B146" s="3">
        <f t="shared" si="30"/>
        <v>1764</v>
      </c>
      <c r="C146" s="18">
        <v>59915</v>
      </c>
      <c r="D146" s="2" cm="1">
        <f t="array" ref="D146">TREND($C$138:$C$147,$B$138:$B$147,$B146)</f>
        <v>65537.060158543187</v>
      </c>
      <c r="E146" s="2" cm="1">
        <f t="array" ref="E146">GROWTH($C$138:$C$147, $B$138:$B$147,B146)</f>
        <v>65447.536391058449</v>
      </c>
      <c r="F146" s="2">
        <f t="shared" si="31"/>
        <v>65144.052509131121</v>
      </c>
      <c r="G146" s="19"/>
      <c r="H146" s="2">
        <f t="shared" si="32"/>
        <v>5622.0601585431868</v>
      </c>
      <c r="I146" s="2">
        <f t="shared" si="32"/>
        <v>5532.5363910584492</v>
      </c>
      <c r="J146" s="2">
        <f t="shared" si="33"/>
        <v>5229.052509131121</v>
      </c>
    </row>
    <row r="147" spans="1:15">
      <c r="A147" s="13">
        <f t="shared" si="34"/>
        <v>2020</v>
      </c>
      <c r="B147" s="3">
        <f t="shared" si="30"/>
        <v>1429</v>
      </c>
      <c r="C147" s="18">
        <v>67227</v>
      </c>
      <c r="D147" s="2" cm="1">
        <f t="array" ref="D147">TREND($C$138:$C$147,$B$138:$B$147,$B147)</f>
        <v>65287.128785557579</v>
      </c>
      <c r="E147" s="2" cm="1">
        <f t="array" ref="E147">GROWTH($C$138:$C$147, $B$138:$B$147,B147)</f>
        <v>65188.578836028501</v>
      </c>
      <c r="F147" s="2">
        <f t="shared" si="31"/>
        <v>63553.859493371259</v>
      </c>
      <c r="G147" s="19"/>
      <c r="H147" s="2">
        <f t="shared" si="32"/>
        <v>1939.8712144424208</v>
      </c>
      <c r="I147" s="2">
        <f t="shared" si="32"/>
        <v>2038.4211639714995</v>
      </c>
      <c r="J147" s="2">
        <f t="shared" si="33"/>
        <v>3673.1405066287407</v>
      </c>
    </row>
    <row r="149" spans="1:15">
      <c r="D149" t="s">
        <v>19</v>
      </c>
    </row>
    <row r="150" spans="1:15">
      <c r="D150" cm="1">
        <f t="array" ref="D150:F150">LINEST(_xlfn.ANCHORARRAY(C138),B138:B147^{1,2},TRUE,FALSE)</f>
        <v>4.9267649925286063E-3</v>
      </c>
      <c r="E150">
        <v>-10.984315797980081</v>
      </c>
      <c r="F150">
        <v>69189.79065657669</v>
      </c>
    </row>
    <row r="152" spans="1:15">
      <c r="D152" s="12"/>
      <c r="E152" s="12" t="s">
        <v>21</v>
      </c>
      <c r="F152" s="12" t="s">
        <v>22</v>
      </c>
      <c r="G152" s="12"/>
      <c r="H152" s="12" t="s">
        <v>23</v>
      </c>
    </row>
    <row r="153" spans="1:15">
      <c r="D153" s="12" t="s">
        <v>24</v>
      </c>
      <c r="E153" s="2">
        <f>AVERAGE(D138:D147)</f>
        <v>65245.19999999999</v>
      </c>
      <c r="F153" s="2">
        <f>AVERAGE(E138:E147)</f>
        <v>65146.946670939462</v>
      </c>
      <c r="G153" s="2"/>
      <c r="H153" s="2">
        <f>AVERAGE(F138:F147)</f>
        <v>65245.2</v>
      </c>
    </row>
    <row r="154" spans="1:15" ht="18.75">
      <c r="A154" s="69"/>
      <c r="D154" s="12" t="s">
        <v>25</v>
      </c>
      <c r="E154" s="15">
        <f>MIN(E153:H153)</f>
        <v>65146.946670939462</v>
      </c>
      <c r="F154" s="15"/>
      <c r="G154" s="15"/>
      <c r="H154" s="15"/>
    </row>
    <row r="155" spans="1:15">
      <c r="D155" s="12" t="s">
        <v>26</v>
      </c>
      <c r="E155" s="22" t="str">
        <f ca="1">OFFSET(D152,0,MATCH(E154,E153:H153,0))</f>
        <v>Exponential</v>
      </c>
      <c r="F155" s="23"/>
      <c r="G155" s="23"/>
      <c r="H155" s="24"/>
    </row>
    <row r="157" spans="1:15">
      <c r="A157" s="1"/>
    </row>
    <row r="158" spans="1:15">
      <c r="G158" s="7"/>
    </row>
    <row r="159" spans="1:15">
      <c r="A159" s="1"/>
      <c r="B159" s="62"/>
      <c r="C159" s="62"/>
      <c r="D159" s="62"/>
      <c r="E159" s="62"/>
      <c r="F159" s="62"/>
      <c r="G159" s="62"/>
    </row>
    <row r="160" spans="1:15">
      <c r="B160" s="70"/>
      <c r="C160" s="70"/>
      <c r="D160" s="70"/>
      <c r="E160" s="70"/>
      <c r="F160" s="70"/>
      <c r="G160" s="70"/>
      <c r="J160" s="70"/>
      <c r="K160" s="70"/>
      <c r="L160" s="70"/>
      <c r="M160" s="70"/>
      <c r="N160" s="70"/>
      <c r="O160" s="70"/>
    </row>
    <row r="161" spans="2:15">
      <c r="B161" s="70"/>
      <c r="C161" s="70"/>
      <c r="D161" s="70"/>
      <c r="E161" s="70"/>
      <c r="F161" s="70"/>
      <c r="G161" s="70"/>
      <c r="J161" s="70"/>
      <c r="K161" s="70"/>
      <c r="L161" s="70"/>
      <c r="M161" s="70"/>
      <c r="N161" s="70"/>
      <c r="O161" s="70"/>
    </row>
    <row r="162" spans="2:15">
      <c r="B162" s="70"/>
      <c r="C162" s="70"/>
      <c r="D162" s="70"/>
      <c r="E162" s="70"/>
      <c r="F162" s="70"/>
      <c r="G162" s="70"/>
      <c r="J162" s="70"/>
      <c r="K162" s="70"/>
      <c r="L162" s="70"/>
      <c r="M162" s="70"/>
      <c r="N162" s="70"/>
      <c r="O162" s="70"/>
    </row>
    <row r="163" spans="2:15">
      <c r="B163" s="70"/>
      <c r="C163" s="70"/>
      <c r="D163" s="70"/>
      <c r="E163" s="70"/>
      <c r="F163" s="70"/>
      <c r="G163" s="70"/>
      <c r="J163" s="70"/>
      <c r="K163" s="70"/>
      <c r="L163" s="70"/>
      <c r="M163" s="70"/>
      <c r="N163" s="70"/>
      <c r="O163" s="70"/>
    </row>
    <row r="164" spans="2:15">
      <c r="B164" s="70"/>
      <c r="C164" s="70"/>
      <c r="D164" s="70"/>
      <c r="E164" s="70"/>
      <c r="F164" s="70"/>
      <c r="G164" s="70"/>
      <c r="J164" s="70"/>
      <c r="K164" s="70"/>
      <c r="L164" s="70"/>
      <c r="M164" s="70"/>
      <c r="N164" s="70"/>
      <c r="O164" s="70"/>
    </row>
    <row r="165" spans="2:15">
      <c r="B165" s="70"/>
      <c r="C165" s="70"/>
      <c r="D165" s="70"/>
      <c r="E165" s="70"/>
      <c r="F165" s="70"/>
      <c r="G165" s="70"/>
      <c r="J165" s="70"/>
      <c r="K165" s="70"/>
      <c r="L165" s="70"/>
      <c r="M165" s="70"/>
      <c r="N165" s="70"/>
      <c r="O165" s="70"/>
    </row>
    <row r="166" spans="2:15">
      <c r="B166" s="70"/>
      <c r="C166" s="70"/>
      <c r="D166" s="70"/>
      <c r="E166" s="70"/>
      <c r="F166" s="70"/>
      <c r="G166" s="70"/>
      <c r="J166" s="70"/>
      <c r="K166" s="70"/>
      <c r="L166" s="70"/>
      <c r="M166" s="70"/>
      <c r="N166" s="70"/>
      <c r="O166" s="70"/>
    </row>
    <row r="167" spans="2:15">
      <c r="B167" s="70"/>
      <c r="C167" s="70"/>
      <c r="D167" s="70"/>
      <c r="E167" s="70"/>
      <c r="F167" s="70"/>
      <c r="G167" s="70"/>
      <c r="J167" s="70"/>
      <c r="K167" s="70"/>
      <c r="L167" s="70"/>
      <c r="M167" s="70"/>
      <c r="N167" s="70"/>
      <c r="O167" s="70"/>
    </row>
    <row r="168" spans="2:15">
      <c r="B168" s="70"/>
      <c r="C168" s="70"/>
      <c r="D168" s="70"/>
      <c r="E168" s="70"/>
      <c r="F168" s="70"/>
      <c r="G168" s="70"/>
      <c r="J168" s="70"/>
      <c r="K168" s="70"/>
      <c r="L168" s="70"/>
      <c r="M168" s="70"/>
      <c r="N168" s="70"/>
      <c r="O168" s="70"/>
    </row>
    <row r="169" spans="2:15">
      <c r="B169" s="70"/>
      <c r="C169" s="70"/>
      <c r="D169" s="70"/>
      <c r="E169" s="70"/>
      <c r="F169" s="70"/>
      <c r="G169" s="70"/>
      <c r="J169" s="70"/>
      <c r="K169" s="70"/>
      <c r="L169" s="70"/>
      <c r="M169" s="70"/>
      <c r="N169" s="70"/>
      <c r="O169" s="70"/>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43D4F-30D2-4803-93C6-ADDC6D2B2E33}">
  <sheetPr codeName="Sheet17"/>
  <dimension ref="A1:Q26"/>
  <sheetViews>
    <sheetView zoomScale="82" zoomScaleNormal="73" workbookViewId="0">
      <selection activeCell="J19" sqref="J19"/>
    </sheetView>
  </sheetViews>
  <sheetFormatPr defaultColWidth="9.140625" defaultRowHeight="15"/>
  <cols>
    <col min="1" max="3" width="9.140625" style="35"/>
    <col min="4" max="4" width="20.85546875" style="35" bestFit="1" customWidth="1"/>
    <col min="5" max="5" width="14.85546875" style="35" bestFit="1" customWidth="1"/>
    <col min="6" max="6" width="16.7109375" style="35" bestFit="1" customWidth="1"/>
    <col min="7" max="7" width="25.85546875" style="35" bestFit="1" customWidth="1"/>
    <col min="8" max="8" width="20" style="35" bestFit="1" customWidth="1"/>
    <col min="9" max="9" width="15.85546875" style="35" bestFit="1" customWidth="1"/>
    <col min="10" max="16384" width="9.140625" style="35"/>
  </cols>
  <sheetData>
    <row r="1" spans="1:17" s="94" customFormat="1" ht="21">
      <c r="A1" s="97" t="s">
        <v>98</v>
      </c>
      <c r="B1" s="98"/>
      <c r="C1" s="98"/>
      <c r="D1" s="98"/>
      <c r="E1" s="99"/>
      <c r="F1" s="100"/>
      <c r="G1" s="98"/>
      <c r="H1" s="98"/>
      <c r="I1" s="98"/>
      <c r="J1" s="98"/>
      <c r="K1" s="98"/>
      <c r="L1" s="98"/>
      <c r="M1" s="98"/>
      <c r="N1" s="98"/>
      <c r="O1" s="98"/>
      <c r="P1" s="98"/>
      <c r="Q1" s="101"/>
    </row>
    <row r="2" spans="1:17" s="94" customFormat="1" ht="21" customHeight="1">
      <c r="A2" s="135" t="s">
        <v>99</v>
      </c>
      <c r="B2" s="136"/>
      <c r="C2" s="136"/>
      <c r="D2" s="136"/>
      <c r="E2" s="136"/>
      <c r="F2" s="136"/>
      <c r="G2" s="136"/>
      <c r="H2" s="136"/>
      <c r="I2" s="136"/>
      <c r="J2" s="136"/>
      <c r="K2" s="136"/>
      <c r="L2" s="136"/>
      <c r="M2" s="136"/>
      <c r="N2" s="136"/>
      <c r="O2" s="136"/>
      <c r="P2" s="136"/>
      <c r="Q2" s="137"/>
    </row>
    <row r="3" spans="1:17" s="94" customFormat="1" ht="15.75" thickBot="1">
      <c r="A3" s="138"/>
      <c r="B3" s="139"/>
      <c r="C3" s="139"/>
      <c r="D3" s="139"/>
      <c r="E3" s="139"/>
      <c r="F3" s="139"/>
      <c r="G3" s="139"/>
      <c r="H3" s="139"/>
      <c r="I3" s="139"/>
      <c r="J3" s="139"/>
      <c r="K3" s="139"/>
      <c r="L3" s="139"/>
      <c r="M3" s="139"/>
      <c r="N3" s="139"/>
      <c r="O3" s="139"/>
      <c r="P3" s="139"/>
      <c r="Q3" s="140"/>
    </row>
    <row r="4" spans="1:17" s="94" customFormat="1" ht="15.75" thickBot="1">
      <c r="A4" s="96"/>
      <c r="E4" s="95"/>
    </row>
    <row r="5" spans="1:17" s="94" customFormat="1" ht="15.75" thickBot="1">
      <c r="A5" s="96"/>
      <c r="B5" s="35"/>
      <c r="C5" s="35"/>
      <c r="D5" s="35"/>
      <c r="E5" s="141" t="s">
        <v>1</v>
      </c>
      <c r="F5" s="142"/>
      <c r="G5" s="143"/>
      <c r="H5" s="103"/>
      <c r="I5" s="35"/>
    </row>
    <row r="6" spans="1:17" s="94" customFormat="1">
      <c r="A6" s="96"/>
      <c r="B6" s="35"/>
      <c r="C6" s="8" t="s">
        <v>2</v>
      </c>
      <c r="D6" s="63" t="s">
        <v>0</v>
      </c>
      <c r="E6" s="64" t="s">
        <v>7</v>
      </c>
      <c r="F6" s="64" t="s">
        <v>8</v>
      </c>
      <c r="G6" s="64" t="s">
        <v>9</v>
      </c>
      <c r="H6" s="63" t="s">
        <v>32</v>
      </c>
      <c r="I6" s="9" t="s">
        <v>5</v>
      </c>
    </row>
    <row r="7" spans="1:17" ht="15.75">
      <c r="B7" s="65" t="s">
        <v>3</v>
      </c>
      <c r="C7" s="6">
        <f>C8-1</f>
        <v>2011</v>
      </c>
      <c r="D7" s="17">
        <v>70843</v>
      </c>
      <c r="E7" s="17">
        <v>33441</v>
      </c>
      <c r="F7" s="17">
        <v>7732</v>
      </c>
      <c r="G7" s="17">
        <v>5275</v>
      </c>
      <c r="H7" s="17">
        <f>SUM(E7:G7)</f>
        <v>46448</v>
      </c>
      <c r="I7" s="17">
        <f t="shared" ref="I7:I26" si="0">D7-SUM(E7:G7)</f>
        <v>24395</v>
      </c>
    </row>
    <row r="8" spans="1:17" ht="15.75">
      <c r="B8" s="104"/>
      <c r="C8" s="6">
        <f t="shared" ref="C8:C13" si="1">C9-1</f>
        <v>2012</v>
      </c>
      <c r="D8" s="17">
        <v>87858</v>
      </c>
      <c r="E8" s="17">
        <v>31860</v>
      </c>
      <c r="F8" s="17">
        <v>8683</v>
      </c>
      <c r="G8" s="17">
        <v>7369</v>
      </c>
      <c r="H8" s="17">
        <f>SUM(E8:G8)</f>
        <v>47912</v>
      </c>
      <c r="I8" s="17">
        <f t="shared" si="0"/>
        <v>39946</v>
      </c>
    </row>
    <row r="9" spans="1:17" ht="15.75">
      <c r="B9" s="104"/>
      <c r="C9" s="6">
        <f t="shared" si="1"/>
        <v>2013</v>
      </c>
      <c r="D9" s="17">
        <v>93759</v>
      </c>
      <c r="E9" s="17">
        <v>38325</v>
      </c>
      <c r="F9" s="17">
        <v>8188</v>
      </c>
      <c r="G9" s="17">
        <v>4246</v>
      </c>
      <c r="H9" s="17">
        <f t="shared" ref="H9:H26" si="2">SUM(E9:G9)</f>
        <v>50759</v>
      </c>
      <c r="I9" s="17">
        <f t="shared" si="0"/>
        <v>43000</v>
      </c>
    </row>
    <row r="10" spans="1:17" ht="15.75">
      <c r="B10" s="104"/>
      <c r="C10" s="6">
        <f t="shared" si="1"/>
        <v>2014</v>
      </c>
      <c r="D10" s="17">
        <v>78612</v>
      </c>
      <c r="E10" s="17">
        <v>31067</v>
      </c>
      <c r="F10" s="17">
        <v>8436</v>
      </c>
      <c r="G10" s="17">
        <v>5779</v>
      </c>
      <c r="H10" s="17">
        <f t="shared" si="2"/>
        <v>45282</v>
      </c>
      <c r="I10" s="17">
        <f t="shared" si="0"/>
        <v>33330</v>
      </c>
    </row>
    <row r="11" spans="1:17" ht="15.75">
      <c r="B11" s="104"/>
      <c r="C11" s="6">
        <f t="shared" si="1"/>
        <v>2015</v>
      </c>
      <c r="D11" s="17">
        <v>81687</v>
      </c>
      <c r="E11" s="17">
        <v>32870</v>
      </c>
      <c r="F11" s="17">
        <v>7782</v>
      </c>
      <c r="G11" s="17">
        <v>4424</v>
      </c>
      <c r="H11" s="17">
        <f t="shared" si="2"/>
        <v>45076</v>
      </c>
      <c r="I11" s="17">
        <f t="shared" si="0"/>
        <v>36611</v>
      </c>
    </row>
    <row r="12" spans="1:17" ht="15.75">
      <c r="B12" s="104"/>
      <c r="C12" s="6">
        <f t="shared" si="1"/>
        <v>2016</v>
      </c>
      <c r="D12" s="17">
        <v>65578</v>
      </c>
      <c r="E12" s="17">
        <v>25645</v>
      </c>
      <c r="F12" s="17">
        <v>6791</v>
      </c>
      <c r="G12" s="17">
        <v>5373</v>
      </c>
      <c r="H12" s="17">
        <f>SUM(E12:G12)</f>
        <v>37809</v>
      </c>
      <c r="I12" s="17">
        <f t="shared" si="0"/>
        <v>27769</v>
      </c>
    </row>
    <row r="13" spans="1:17" ht="15.75">
      <c r="B13" s="104"/>
      <c r="C13" s="6">
        <f t="shared" si="1"/>
        <v>2017</v>
      </c>
      <c r="D13" s="17">
        <v>89744</v>
      </c>
      <c r="E13" s="17">
        <v>35190</v>
      </c>
      <c r="F13" s="17">
        <v>7585</v>
      </c>
      <c r="G13" s="17">
        <v>6327</v>
      </c>
      <c r="H13" s="17">
        <f>SUM(E13:G13)</f>
        <v>49102</v>
      </c>
      <c r="I13" s="17">
        <f t="shared" si="0"/>
        <v>40642</v>
      </c>
    </row>
    <row r="14" spans="1:17" ht="15.75">
      <c r="B14" s="104"/>
      <c r="C14" s="6">
        <f>C15-1</f>
        <v>2018</v>
      </c>
      <c r="D14" s="17">
        <v>74268</v>
      </c>
      <c r="E14" s="17">
        <v>27552</v>
      </c>
      <c r="F14" s="17">
        <v>9093</v>
      </c>
      <c r="G14" s="17">
        <v>3877</v>
      </c>
      <c r="H14" s="17">
        <f t="shared" si="2"/>
        <v>40522</v>
      </c>
      <c r="I14" s="17">
        <f t="shared" si="0"/>
        <v>33746</v>
      </c>
    </row>
    <row r="15" spans="1:17" ht="15.75">
      <c r="B15" s="104"/>
      <c r="C15" s="6">
        <v>2019</v>
      </c>
      <c r="D15" s="17">
        <v>68740</v>
      </c>
      <c r="E15" s="17">
        <v>28877</v>
      </c>
      <c r="F15" s="17">
        <v>5792</v>
      </c>
      <c r="G15" s="17">
        <v>4749</v>
      </c>
      <c r="H15" s="17">
        <f t="shared" si="2"/>
        <v>39418</v>
      </c>
      <c r="I15" s="17">
        <f t="shared" si="0"/>
        <v>29322</v>
      </c>
    </row>
    <row r="16" spans="1:17" ht="15.75">
      <c r="B16" s="104"/>
      <c r="C16" s="6">
        <v>2020</v>
      </c>
      <c r="D16" s="17">
        <v>84425</v>
      </c>
      <c r="E16" s="17">
        <v>34964</v>
      </c>
      <c r="F16" s="17">
        <v>7233</v>
      </c>
      <c r="G16" s="17">
        <v>3263</v>
      </c>
      <c r="H16" s="17">
        <f t="shared" si="2"/>
        <v>45460</v>
      </c>
      <c r="I16" s="17">
        <f t="shared" si="0"/>
        <v>38965</v>
      </c>
    </row>
    <row r="17" spans="2:9">
      <c r="B17" s="67" t="s">
        <v>4</v>
      </c>
      <c r="C17" s="16">
        <f>C7</f>
        <v>2011</v>
      </c>
      <c r="D17" s="14">
        <v>110343</v>
      </c>
      <c r="E17" s="14">
        <v>35568</v>
      </c>
      <c r="F17" s="14">
        <v>3658</v>
      </c>
      <c r="G17" s="14">
        <v>3404</v>
      </c>
      <c r="H17" s="14">
        <f t="shared" si="2"/>
        <v>42630</v>
      </c>
      <c r="I17" s="14">
        <f t="shared" si="0"/>
        <v>67713</v>
      </c>
    </row>
    <row r="18" spans="2:9">
      <c r="B18" s="102"/>
      <c r="C18" s="16">
        <f t="shared" ref="C18:C26" si="3">C17+1</f>
        <v>2012</v>
      </c>
      <c r="D18" s="14">
        <v>116000</v>
      </c>
      <c r="E18" s="14">
        <v>41549</v>
      </c>
      <c r="F18" s="14">
        <v>5053</v>
      </c>
      <c r="G18" s="14">
        <v>5344</v>
      </c>
      <c r="H18" s="14">
        <f t="shared" si="2"/>
        <v>51946</v>
      </c>
      <c r="I18" s="14">
        <f t="shared" si="0"/>
        <v>64054</v>
      </c>
    </row>
    <row r="19" spans="2:9">
      <c r="B19" s="102"/>
      <c r="C19" s="16">
        <f t="shared" si="3"/>
        <v>2013</v>
      </c>
      <c r="D19" s="14">
        <v>100000</v>
      </c>
      <c r="E19" s="14">
        <v>32010</v>
      </c>
      <c r="F19" s="14">
        <v>3993</v>
      </c>
      <c r="G19" s="14">
        <v>3671</v>
      </c>
      <c r="H19" s="14">
        <f t="shared" si="2"/>
        <v>39674</v>
      </c>
      <c r="I19" s="14">
        <f t="shared" si="0"/>
        <v>60326</v>
      </c>
    </row>
    <row r="20" spans="2:9">
      <c r="B20" s="102"/>
      <c r="C20" s="16">
        <f t="shared" si="3"/>
        <v>2014</v>
      </c>
      <c r="D20" s="14">
        <v>112000</v>
      </c>
      <c r="E20" s="14">
        <v>41991</v>
      </c>
      <c r="F20" s="14">
        <v>4091</v>
      </c>
      <c r="G20" s="14">
        <v>4366</v>
      </c>
      <c r="H20" s="14">
        <f t="shared" si="2"/>
        <v>50448</v>
      </c>
      <c r="I20" s="14">
        <f t="shared" si="0"/>
        <v>61552</v>
      </c>
    </row>
    <row r="21" spans="2:9">
      <c r="B21" s="102"/>
      <c r="C21" s="16">
        <f t="shared" si="3"/>
        <v>2015</v>
      </c>
      <c r="D21" s="14">
        <v>115000</v>
      </c>
      <c r="E21" s="14">
        <v>30951</v>
      </c>
      <c r="F21" s="14">
        <v>9067</v>
      </c>
      <c r="G21" s="14">
        <v>4873</v>
      </c>
      <c r="H21" s="14">
        <f t="shared" si="2"/>
        <v>44891</v>
      </c>
      <c r="I21" s="14">
        <f t="shared" si="0"/>
        <v>70109</v>
      </c>
    </row>
    <row r="22" spans="2:9">
      <c r="B22" s="102"/>
      <c r="C22" s="16">
        <f t="shared" si="3"/>
        <v>2016</v>
      </c>
      <c r="D22" s="14">
        <v>115038</v>
      </c>
      <c r="E22" s="14">
        <v>35809</v>
      </c>
      <c r="F22" s="14">
        <v>9520</v>
      </c>
      <c r="G22" s="14">
        <v>5804</v>
      </c>
      <c r="H22" s="14">
        <f t="shared" si="2"/>
        <v>51133</v>
      </c>
      <c r="I22" s="14">
        <f t="shared" si="0"/>
        <v>63905</v>
      </c>
    </row>
    <row r="23" spans="2:9">
      <c r="B23" s="102"/>
      <c r="C23" s="16">
        <f t="shared" si="3"/>
        <v>2017</v>
      </c>
      <c r="D23" s="14">
        <v>119594</v>
      </c>
      <c r="E23" s="14">
        <v>39947</v>
      </c>
      <c r="F23" s="14">
        <v>5959</v>
      </c>
      <c r="G23" s="14">
        <v>4340</v>
      </c>
      <c r="H23" s="14">
        <f t="shared" si="2"/>
        <v>50246</v>
      </c>
      <c r="I23" s="14">
        <f t="shared" si="0"/>
        <v>69348</v>
      </c>
    </row>
    <row r="24" spans="2:9">
      <c r="B24" s="102"/>
      <c r="C24" s="16">
        <f t="shared" si="3"/>
        <v>2018</v>
      </c>
      <c r="D24" s="14">
        <v>120000</v>
      </c>
      <c r="E24" s="14">
        <v>41138</v>
      </c>
      <c r="F24" s="14">
        <v>8466</v>
      </c>
      <c r="G24" s="14">
        <v>2093</v>
      </c>
      <c r="H24" s="14">
        <f t="shared" si="2"/>
        <v>51697</v>
      </c>
      <c r="I24" s="14">
        <f t="shared" si="0"/>
        <v>68303</v>
      </c>
    </row>
    <row r="25" spans="2:9">
      <c r="B25" s="102"/>
      <c r="C25" s="16">
        <f t="shared" si="3"/>
        <v>2019</v>
      </c>
      <c r="D25" s="14">
        <v>99469</v>
      </c>
      <c r="E25" s="14">
        <v>34031</v>
      </c>
      <c r="F25" s="14">
        <v>2538</v>
      </c>
      <c r="G25" s="14">
        <v>2985</v>
      </c>
      <c r="H25" s="14">
        <f t="shared" si="2"/>
        <v>39554</v>
      </c>
      <c r="I25" s="14">
        <f>D25-SUM(E25:G25)</f>
        <v>59915</v>
      </c>
    </row>
    <row r="26" spans="2:9">
      <c r="B26" s="102"/>
      <c r="C26" s="16">
        <f t="shared" si="3"/>
        <v>2020</v>
      </c>
      <c r="D26" s="14">
        <v>122000</v>
      </c>
      <c r="E26" s="14">
        <v>41389</v>
      </c>
      <c r="F26" s="14">
        <v>8692</v>
      </c>
      <c r="G26" s="14">
        <v>4692</v>
      </c>
      <c r="H26" s="14">
        <f t="shared" si="2"/>
        <v>54773</v>
      </c>
      <c r="I26" s="14">
        <f t="shared" si="0"/>
        <v>67227</v>
      </c>
    </row>
  </sheetData>
  <mergeCells count="2">
    <mergeCell ref="A2:Q3"/>
    <mergeCell ref="E5:G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EE746-11D7-431E-A0F8-E7BA0A8DFC31}">
  <sheetPr codeName="Sheet2"/>
  <dimension ref="A1:Q29"/>
  <sheetViews>
    <sheetView workbookViewId="0">
      <selection activeCell="N26" sqref="N26"/>
    </sheetView>
  </sheetViews>
  <sheetFormatPr defaultRowHeight="15"/>
  <cols>
    <col min="1" max="1" width="9.140625" style="35"/>
    <col min="2" max="2" width="5.28515625" style="35" bestFit="1" customWidth="1"/>
    <col min="3" max="3" width="15.28515625" style="35" bestFit="1" customWidth="1"/>
    <col min="4" max="4" width="10.7109375" style="35" bestFit="1" customWidth="1"/>
    <col min="5" max="5" width="11.7109375" style="35" bestFit="1" customWidth="1"/>
    <col min="6" max="6" width="18.42578125" style="35" bestFit="1" customWidth="1"/>
    <col min="7" max="7" width="13.85546875" style="35" bestFit="1" customWidth="1"/>
    <col min="8" max="8" width="11.28515625" style="35" bestFit="1" customWidth="1"/>
    <col min="9" max="9" width="9.140625" style="35"/>
    <col min="10" max="10" width="29.140625" style="35" bestFit="1" customWidth="1"/>
    <col min="11" max="11" width="17.28515625" style="35" bestFit="1" customWidth="1"/>
    <col min="12" max="12" width="7" style="35" bestFit="1" customWidth="1"/>
    <col min="13" max="13" width="11.28515625" style="35" bestFit="1" customWidth="1"/>
    <col min="14" max="15" width="28.42578125" style="35" bestFit="1" customWidth="1"/>
    <col min="16" max="16" width="25.28515625" style="35" bestFit="1" customWidth="1"/>
    <col min="17" max="17" width="26.42578125" style="35" bestFit="1" customWidth="1"/>
    <col min="18" max="18" width="34.140625" style="35" bestFit="1" customWidth="1"/>
    <col min="19" max="21" width="6.5703125" style="35" bestFit="1" customWidth="1"/>
    <col min="22" max="30" width="7.7109375" style="35" bestFit="1" customWidth="1"/>
    <col min="31" max="31" width="17.140625" style="35" bestFit="1" customWidth="1"/>
    <col min="32" max="32" width="7.42578125" style="35" bestFit="1" customWidth="1"/>
    <col min="33" max="33" width="12.42578125" style="35" bestFit="1" customWidth="1"/>
    <col min="34" max="16384" width="9.140625" style="35"/>
  </cols>
  <sheetData>
    <row r="1" spans="1:17" ht="21">
      <c r="A1" s="97" t="s">
        <v>122</v>
      </c>
      <c r="B1" s="98"/>
      <c r="C1" s="98"/>
      <c r="D1" s="98"/>
      <c r="E1" s="99"/>
      <c r="F1" s="100"/>
      <c r="G1" s="98"/>
      <c r="H1" s="98"/>
      <c r="I1" s="98"/>
      <c r="J1" s="98"/>
      <c r="K1" s="98"/>
      <c r="L1" s="98"/>
      <c r="M1" s="98"/>
      <c r="N1" s="98"/>
      <c r="O1" s="98"/>
      <c r="P1" s="98"/>
      <c r="Q1" s="101"/>
    </row>
    <row r="2" spans="1:17">
      <c r="A2" s="135" t="s">
        <v>123</v>
      </c>
      <c r="B2" s="136"/>
      <c r="C2" s="136"/>
      <c r="D2" s="136"/>
      <c r="E2" s="136"/>
      <c r="F2" s="136"/>
      <c r="G2" s="136"/>
      <c r="H2" s="136"/>
      <c r="I2" s="136"/>
      <c r="J2" s="136"/>
      <c r="K2" s="136"/>
      <c r="L2" s="136"/>
      <c r="M2" s="136"/>
      <c r="N2" s="136"/>
      <c r="O2" s="136"/>
      <c r="P2" s="136"/>
      <c r="Q2" s="137"/>
    </row>
    <row r="3" spans="1:17" ht="15.75" thickBot="1">
      <c r="A3" s="138"/>
      <c r="B3" s="139"/>
      <c r="C3" s="139"/>
      <c r="D3" s="139"/>
      <c r="E3" s="139"/>
      <c r="F3" s="139"/>
      <c r="G3" s="139"/>
      <c r="H3" s="139"/>
      <c r="I3" s="139"/>
      <c r="J3" s="139"/>
      <c r="K3" s="139"/>
      <c r="L3" s="139"/>
      <c r="M3" s="139"/>
      <c r="N3" s="139"/>
      <c r="O3" s="139"/>
      <c r="P3" s="139"/>
      <c r="Q3" s="140"/>
    </row>
    <row r="7" spans="1:17">
      <c r="A7" s="113" t="s">
        <v>112</v>
      </c>
      <c r="B7" s="114" t="s">
        <v>30</v>
      </c>
      <c r="C7" s="115" t="s">
        <v>0</v>
      </c>
      <c r="D7" s="116" t="s">
        <v>7</v>
      </c>
      <c r="E7" s="116" t="s">
        <v>8</v>
      </c>
      <c r="F7" s="116" t="s">
        <v>9</v>
      </c>
      <c r="G7" s="115" t="s">
        <v>32</v>
      </c>
      <c r="H7" s="117" t="s">
        <v>5</v>
      </c>
      <c r="J7" s="102" t="s">
        <v>30</v>
      </c>
      <c r="K7" s="133">
        <v>2011</v>
      </c>
    </row>
    <row r="8" spans="1:17">
      <c r="A8" s="124">
        <v>1</v>
      </c>
      <c r="B8" s="125">
        <f t="shared" ref="B8:B15" si="0">B9-1</f>
        <v>2011</v>
      </c>
      <c r="C8" s="126">
        <v>60000</v>
      </c>
      <c r="D8" s="126">
        <v>33441</v>
      </c>
      <c r="E8" s="126">
        <v>7732</v>
      </c>
      <c r="F8" s="126">
        <v>5275</v>
      </c>
      <c r="G8" s="126">
        <f t="shared" ref="G8:G27" si="1">SUM(D8:F8)</f>
        <v>46448</v>
      </c>
      <c r="H8" s="126">
        <f t="shared" ref="H8:H27" si="2">C8-SUM(D8:F8)</f>
        <v>13552</v>
      </c>
      <c r="J8" s="122"/>
      <c r="K8" s="121"/>
      <c r="L8" s="122"/>
      <c r="M8" s="122"/>
    </row>
    <row r="9" spans="1:17">
      <c r="A9" s="124">
        <v>1</v>
      </c>
      <c r="B9" s="125">
        <f t="shared" si="0"/>
        <v>2012</v>
      </c>
      <c r="C9" s="126">
        <v>87858</v>
      </c>
      <c r="D9" s="126">
        <v>31860</v>
      </c>
      <c r="E9" s="126">
        <v>8683</v>
      </c>
      <c r="F9" s="126">
        <v>7369</v>
      </c>
      <c r="G9" s="126">
        <f t="shared" si="1"/>
        <v>47912</v>
      </c>
      <c r="H9" s="126">
        <f t="shared" si="2"/>
        <v>39946</v>
      </c>
      <c r="J9" s="122"/>
      <c r="K9" s="122" t="s">
        <v>113</v>
      </c>
      <c r="L9" s="122"/>
      <c r="M9" s="122"/>
    </row>
    <row r="10" spans="1:17">
      <c r="A10" s="124">
        <v>1</v>
      </c>
      <c r="B10" s="125">
        <f t="shared" si="0"/>
        <v>2013</v>
      </c>
      <c r="C10" s="126">
        <v>93759</v>
      </c>
      <c r="D10" s="126">
        <v>38325</v>
      </c>
      <c r="E10" s="126">
        <v>8188</v>
      </c>
      <c r="F10" s="126">
        <v>4246</v>
      </c>
      <c r="G10" s="126">
        <f t="shared" si="1"/>
        <v>50759</v>
      </c>
      <c r="H10" s="126">
        <f t="shared" si="2"/>
        <v>43000</v>
      </c>
      <c r="J10" s="122" t="s">
        <v>114</v>
      </c>
      <c r="K10" s="122">
        <v>1</v>
      </c>
      <c r="L10" s="122">
        <v>2</v>
      </c>
      <c r="M10" s="122" t="s">
        <v>115</v>
      </c>
    </row>
    <row r="11" spans="1:17">
      <c r="A11" s="124">
        <v>1</v>
      </c>
      <c r="B11" s="125">
        <f t="shared" si="0"/>
        <v>2014</v>
      </c>
      <c r="C11" s="126">
        <v>78612</v>
      </c>
      <c r="D11" s="126">
        <v>31067</v>
      </c>
      <c r="E11" s="126">
        <v>8436</v>
      </c>
      <c r="F11" s="126">
        <v>5779</v>
      </c>
      <c r="G11" s="126">
        <f t="shared" si="1"/>
        <v>45282</v>
      </c>
      <c r="H11" s="126">
        <f t="shared" si="2"/>
        <v>33330</v>
      </c>
      <c r="J11" s="123" t="s">
        <v>116</v>
      </c>
      <c r="K11" s="130">
        <v>33441</v>
      </c>
      <c r="L11" s="130">
        <v>35568</v>
      </c>
      <c r="M11" s="130">
        <v>69009</v>
      </c>
    </row>
    <row r="12" spans="1:17">
      <c r="A12" s="124">
        <v>1</v>
      </c>
      <c r="B12" s="125">
        <f t="shared" si="0"/>
        <v>2015</v>
      </c>
      <c r="C12" s="126">
        <v>81687</v>
      </c>
      <c r="D12" s="126">
        <v>32870</v>
      </c>
      <c r="E12" s="126">
        <v>7782</v>
      </c>
      <c r="F12" s="126">
        <v>4424</v>
      </c>
      <c r="G12" s="126">
        <f t="shared" si="1"/>
        <v>45076</v>
      </c>
      <c r="H12" s="126">
        <f t="shared" si="2"/>
        <v>36611</v>
      </c>
      <c r="J12" s="123" t="s">
        <v>117</v>
      </c>
      <c r="K12" s="130">
        <v>7732</v>
      </c>
      <c r="L12" s="130">
        <v>3658</v>
      </c>
      <c r="M12" s="130">
        <v>11390</v>
      </c>
    </row>
    <row r="13" spans="1:17">
      <c r="A13" s="124">
        <v>1</v>
      </c>
      <c r="B13" s="125">
        <f t="shared" si="0"/>
        <v>2016</v>
      </c>
      <c r="C13" s="126">
        <v>65578</v>
      </c>
      <c r="D13" s="126">
        <v>25645</v>
      </c>
      <c r="E13" s="126">
        <v>6791</v>
      </c>
      <c r="F13" s="126">
        <v>5373</v>
      </c>
      <c r="G13" s="126">
        <f t="shared" si="1"/>
        <v>37809</v>
      </c>
      <c r="H13" s="126">
        <f t="shared" si="2"/>
        <v>27769</v>
      </c>
      <c r="J13" s="123" t="s">
        <v>118</v>
      </c>
      <c r="K13" s="130">
        <v>5275</v>
      </c>
      <c r="L13" s="130">
        <v>3404</v>
      </c>
      <c r="M13" s="130">
        <v>8679</v>
      </c>
    </row>
    <row r="14" spans="1:17">
      <c r="A14" s="124">
        <v>1</v>
      </c>
      <c r="B14" s="125">
        <f t="shared" si="0"/>
        <v>2017</v>
      </c>
      <c r="C14" s="126">
        <v>89744</v>
      </c>
      <c r="D14" s="126">
        <v>35190</v>
      </c>
      <c r="E14" s="126">
        <v>7585</v>
      </c>
      <c r="F14" s="126">
        <v>6327</v>
      </c>
      <c r="G14" s="126">
        <f t="shared" si="1"/>
        <v>49102</v>
      </c>
      <c r="H14" s="126">
        <f t="shared" si="2"/>
        <v>40642</v>
      </c>
      <c r="J14" s="118" t="s">
        <v>119</v>
      </c>
      <c r="K14" s="129">
        <v>46448</v>
      </c>
      <c r="L14" s="129">
        <v>42630</v>
      </c>
      <c r="M14" s="129">
        <v>89078</v>
      </c>
    </row>
    <row r="15" spans="1:17">
      <c r="A15" s="124">
        <v>1</v>
      </c>
      <c r="B15" s="125">
        <f t="shared" si="0"/>
        <v>2018</v>
      </c>
      <c r="C15" s="126">
        <v>74268</v>
      </c>
      <c r="D15" s="126">
        <v>27552</v>
      </c>
      <c r="E15" s="126">
        <v>9093</v>
      </c>
      <c r="F15" s="126">
        <v>3877</v>
      </c>
      <c r="G15" s="126">
        <f t="shared" si="1"/>
        <v>40522</v>
      </c>
      <c r="H15" s="126">
        <f t="shared" si="2"/>
        <v>33746</v>
      </c>
      <c r="J15" s="118" t="s">
        <v>120</v>
      </c>
      <c r="K15" s="129">
        <v>60000</v>
      </c>
      <c r="L15" s="129">
        <v>110343</v>
      </c>
      <c r="M15" s="129">
        <v>170343</v>
      </c>
    </row>
    <row r="16" spans="1:17">
      <c r="A16" s="124">
        <v>1</v>
      </c>
      <c r="B16" s="125">
        <v>2019</v>
      </c>
      <c r="C16" s="126">
        <v>68740</v>
      </c>
      <c r="D16" s="126">
        <v>28877</v>
      </c>
      <c r="E16" s="126">
        <v>5792</v>
      </c>
      <c r="F16" s="126">
        <v>4749</v>
      </c>
      <c r="G16" s="126">
        <f t="shared" si="1"/>
        <v>39418</v>
      </c>
      <c r="H16" s="126">
        <f t="shared" si="2"/>
        <v>29322</v>
      </c>
      <c r="J16" s="132" t="s">
        <v>121</v>
      </c>
      <c r="K16" s="131">
        <v>13552</v>
      </c>
      <c r="L16" s="131">
        <v>67713</v>
      </c>
      <c r="M16" s="131">
        <v>81265</v>
      </c>
    </row>
    <row r="17" spans="1:8">
      <c r="A17" s="124">
        <v>1</v>
      </c>
      <c r="B17" s="125">
        <v>2020</v>
      </c>
      <c r="C17" s="126">
        <v>84425</v>
      </c>
      <c r="D17" s="126">
        <v>34964</v>
      </c>
      <c r="E17" s="126">
        <v>7233</v>
      </c>
      <c r="F17" s="126">
        <v>3263</v>
      </c>
      <c r="G17" s="126">
        <f t="shared" si="1"/>
        <v>45460</v>
      </c>
      <c r="H17" s="126">
        <f t="shared" si="2"/>
        <v>38965</v>
      </c>
    </row>
    <row r="18" spans="1:8">
      <c r="A18" s="16">
        <v>2</v>
      </c>
      <c r="B18" s="127">
        <f>B8</f>
        <v>2011</v>
      </c>
      <c r="C18" s="128">
        <v>110343</v>
      </c>
      <c r="D18" s="128">
        <v>35568</v>
      </c>
      <c r="E18" s="128">
        <v>3658</v>
      </c>
      <c r="F18" s="128">
        <v>3404</v>
      </c>
      <c r="G18" s="128">
        <f t="shared" si="1"/>
        <v>42630</v>
      </c>
      <c r="H18" s="128">
        <f t="shared" si="2"/>
        <v>67713</v>
      </c>
    </row>
    <row r="19" spans="1:8">
      <c r="A19" s="16">
        <v>2</v>
      </c>
      <c r="B19" s="127">
        <f t="shared" ref="B19:B27" si="3">B18+1</f>
        <v>2012</v>
      </c>
      <c r="C19" s="128">
        <v>116000</v>
      </c>
      <c r="D19" s="128">
        <v>41549</v>
      </c>
      <c r="E19" s="128">
        <v>5053</v>
      </c>
      <c r="F19" s="128">
        <v>5344</v>
      </c>
      <c r="G19" s="128">
        <f t="shared" si="1"/>
        <v>51946</v>
      </c>
      <c r="H19" s="128">
        <f t="shared" si="2"/>
        <v>64054</v>
      </c>
    </row>
    <row r="20" spans="1:8">
      <c r="A20" s="16">
        <v>2</v>
      </c>
      <c r="B20" s="127">
        <f t="shared" si="3"/>
        <v>2013</v>
      </c>
      <c r="C20" s="128">
        <v>100000</v>
      </c>
      <c r="D20" s="128">
        <v>32010</v>
      </c>
      <c r="E20" s="128">
        <v>3993</v>
      </c>
      <c r="F20" s="128">
        <v>3671</v>
      </c>
      <c r="G20" s="128">
        <f t="shared" si="1"/>
        <v>39674</v>
      </c>
      <c r="H20" s="128">
        <f t="shared" si="2"/>
        <v>60326</v>
      </c>
    </row>
    <row r="21" spans="1:8">
      <c r="A21" s="16">
        <v>2</v>
      </c>
      <c r="B21" s="127">
        <f t="shared" si="3"/>
        <v>2014</v>
      </c>
      <c r="C21" s="128">
        <v>112000</v>
      </c>
      <c r="D21" s="128">
        <v>41991</v>
      </c>
      <c r="E21" s="128">
        <v>4091</v>
      </c>
      <c r="F21" s="128">
        <v>4366</v>
      </c>
      <c r="G21" s="128">
        <f t="shared" si="1"/>
        <v>50448</v>
      </c>
      <c r="H21" s="128">
        <f t="shared" si="2"/>
        <v>61552</v>
      </c>
    </row>
    <row r="22" spans="1:8">
      <c r="A22" s="16">
        <v>2</v>
      </c>
      <c r="B22" s="127">
        <f t="shared" si="3"/>
        <v>2015</v>
      </c>
      <c r="C22" s="128">
        <v>115000</v>
      </c>
      <c r="D22" s="128">
        <v>30951</v>
      </c>
      <c r="E22" s="128">
        <v>9067</v>
      </c>
      <c r="F22" s="128">
        <v>4873</v>
      </c>
      <c r="G22" s="128">
        <f t="shared" si="1"/>
        <v>44891</v>
      </c>
      <c r="H22" s="128">
        <f t="shared" si="2"/>
        <v>70109</v>
      </c>
    </row>
    <row r="23" spans="1:8">
      <c r="A23" s="16">
        <v>2</v>
      </c>
      <c r="B23" s="127">
        <f t="shared" si="3"/>
        <v>2016</v>
      </c>
      <c r="C23" s="128">
        <v>115038</v>
      </c>
      <c r="D23" s="128">
        <v>35809</v>
      </c>
      <c r="E23" s="128">
        <v>9520</v>
      </c>
      <c r="F23" s="128">
        <v>5804</v>
      </c>
      <c r="G23" s="128">
        <f t="shared" si="1"/>
        <v>51133</v>
      </c>
      <c r="H23" s="128">
        <f t="shared" si="2"/>
        <v>63905</v>
      </c>
    </row>
    <row r="24" spans="1:8">
      <c r="A24" s="16">
        <v>2</v>
      </c>
      <c r="B24" s="127">
        <f t="shared" si="3"/>
        <v>2017</v>
      </c>
      <c r="C24" s="128">
        <v>119594</v>
      </c>
      <c r="D24" s="128">
        <v>39947</v>
      </c>
      <c r="E24" s="128">
        <v>5959</v>
      </c>
      <c r="F24" s="128">
        <v>4340</v>
      </c>
      <c r="G24" s="128">
        <f t="shared" si="1"/>
        <v>50246</v>
      </c>
      <c r="H24" s="128">
        <f t="shared" si="2"/>
        <v>69348</v>
      </c>
    </row>
    <row r="25" spans="1:8">
      <c r="A25" s="16">
        <v>2</v>
      </c>
      <c r="B25" s="127">
        <f t="shared" si="3"/>
        <v>2018</v>
      </c>
      <c r="C25" s="128">
        <v>120000</v>
      </c>
      <c r="D25" s="128">
        <v>41138</v>
      </c>
      <c r="E25" s="128">
        <v>8466</v>
      </c>
      <c r="F25" s="128">
        <v>2093</v>
      </c>
      <c r="G25" s="128">
        <f t="shared" si="1"/>
        <v>51697</v>
      </c>
      <c r="H25" s="128">
        <f t="shared" si="2"/>
        <v>68303</v>
      </c>
    </row>
    <row r="26" spans="1:8">
      <c r="A26" s="16">
        <v>2</v>
      </c>
      <c r="B26" s="127">
        <f t="shared" si="3"/>
        <v>2019</v>
      </c>
      <c r="C26" s="128">
        <v>99469</v>
      </c>
      <c r="D26" s="128">
        <v>34031</v>
      </c>
      <c r="E26" s="128">
        <v>2538</v>
      </c>
      <c r="F26" s="128">
        <v>2985</v>
      </c>
      <c r="G26" s="128">
        <f t="shared" si="1"/>
        <v>39554</v>
      </c>
      <c r="H26" s="128">
        <f t="shared" si="2"/>
        <v>59915</v>
      </c>
    </row>
    <row r="27" spans="1:8">
      <c r="A27" s="16">
        <v>2</v>
      </c>
      <c r="B27" s="127">
        <f t="shared" si="3"/>
        <v>2020</v>
      </c>
      <c r="C27" s="128">
        <v>122000</v>
      </c>
      <c r="D27" s="128">
        <v>41389</v>
      </c>
      <c r="E27" s="128">
        <v>8692</v>
      </c>
      <c r="F27" s="128">
        <v>4692</v>
      </c>
      <c r="G27" s="128">
        <f t="shared" si="1"/>
        <v>54773</v>
      </c>
      <c r="H27" s="128">
        <f t="shared" si="2"/>
        <v>67227</v>
      </c>
    </row>
    <row r="28" spans="1:8">
      <c r="B28" s="119"/>
      <c r="C28" s="120"/>
      <c r="D28" s="120"/>
      <c r="E28" s="120"/>
      <c r="F28" s="120"/>
      <c r="G28" s="120"/>
      <c r="H28" s="120"/>
    </row>
    <row r="29" spans="1:8">
      <c r="B29" s="119"/>
      <c r="C29" s="120"/>
      <c r="D29" s="120"/>
      <c r="E29" s="120"/>
      <c r="F29" s="120"/>
      <c r="G29" s="120"/>
      <c r="H29" s="120"/>
    </row>
  </sheetData>
  <mergeCells count="1">
    <mergeCell ref="A2:Q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8C9EB-9432-44C9-B62F-62B3C82AF00E}">
  <sheetPr codeName="Sheet18"/>
  <dimension ref="A1:Q6"/>
  <sheetViews>
    <sheetView zoomScale="74" workbookViewId="0">
      <selection sqref="A1:Q3"/>
    </sheetView>
  </sheetViews>
  <sheetFormatPr defaultColWidth="9.140625" defaultRowHeight="15"/>
  <cols>
    <col min="1" max="3" width="9.140625" style="35"/>
    <col min="4" max="4" width="15.7109375" style="35" bestFit="1" customWidth="1"/>
    <col min="5" max="5" width="10.7109375" style="35" bestFit="1" customWidth="1"/>
    <col min="6" max="6" width="9.140625" style="35"/>
    <col min="7" max="7" width="18.85546875" style="35" bestFit="1" customWidth="1"/>
    <col min="8" max="8" width="14.28515625" style="35" bestFit="1" customWidth="1"/>
    <col min="9" max="9" width="11.42578125" style="35" bestFit="1" customWidth="1"/>
    <col min="10" max="16384" width="9.140625" style="35"/>
  </cols>
  <sheetData>
    <row r="1" spans="1:17" s="94" customFormat="1" ht="21">
      <c r="A1" s="97" t="s">
        <v>100</v>
      </c>
      <c r="B1" s="98"/>
      <c r="C1" s="98"/>
      <c r="D1" s="98"/>
      <c r="E1" s="99"/>
      <c r="F1" s="100"/>
      <c r="G1" s="98"/>
      <c r="H1" s="98"/>
      <c r="I1" s="98"/>
      <c r="J1" s="98"/>
      <c r="K1" s="98"/>
      <c r="L1" s="98"/>
      <c r="M1" s="98"/>
      <c r="N1" s="98"/>
      <c r="O1" s="98"/>
      <c r="P1" s="98"/>
      <c r="Q1" s="101"/>
    </row>
    <row r="2" spans="1:17" s="94" customFormat="1" ht="21" customHeight="1">
      <c r="A2" s="135" t="s">
        <v>95</v>
      </c>
      <c r="B2" s="136"/>
      <c r="C2" s="136"/>
      <c r="D2" s="136"/>
      <c r="E2" s="136"/>
      <c r="F2" s="136"/>
      <c r="G2" s="136"/>
      <c r="H2" s="136"/>
      <c r="I2" s="136"/>
      <c r="J2" s="136"/>
      <c r="K2" s="136"/>
      <c r="L2" s="136"/>
      <c r="M2" s="136"/>
      <c r="N2" s="136"/>
      <c r="O2" s="136"/>
      <c r="P2" s="136"/>
      <c r="Q2" s="137"/>
    </row>
    <row r="3" spans="1:17" s="94" customFormat="1" ht="15.75" thickBot="1">
      <c r="A3" s="138"/>
      <c r="B3" s="139"/>
      <c r="C3" s="139"/>
      <c r="D3" s="139"/>
      <c r="E3" s="139"/>
      <c r="F3" s="139"/>
      <c r="G3" s="139"/>
      <c r="H3" s="139"/>
      <c r="I3" s="139"/>
      <c r="J3" s="139"/>
      <c r="K3" s="139"/>
      <c r="L3" s="139"/>
      <c r="M3" s="139"/>
      <c r="N3" s="139"/>
      <c r="O3" s="139"/>
      <c r="P3" s="139"/>
      <c r="Q3" s="140"/>
    </row>
    <row r="4" spans="1:17" s="94" customFormat="1">
      <c r="A4" s="96"/>
      <c r="E4" s="95"/>
    </row>
    <row r="5" spans="1:17" s="94" customFormat="1">
      <c r="A5" s="96"/>
      <c r="B5" s="35"/>
      <c r="C5" s="35"/>
      <c r="D5" s="35"/>
      <c r="E5" s="35"/>
      <c r="F5" s="35"/>
      <c r="G5" s="35"/>
      <c r="H5" s="35"/>
      <c r="I5" s="35"/>
    </row>
    <row r="6" spans="1:17" s="94" customFormat="1">
      <c r="A6" s="96"/>
      <c r="B6" s="35"/>
      <c r="C6" s="35"/>
      <c r="D6" s="35"/>
      <c r="E6" s="35"/>
      <c r="F6" s="35"/>
      <c r="G6" s="35"/>
      <c r="H6" s="35"/>
      <c r="I6" s="35"/>
    </row>
  </sheetData>
  <mergeCells count="1">
    <mergeCell ref="A2:Q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F344F-A726-4480-8493-CA41475FEC50}">
  <sheetPr codeName="Sheet19"/>
  <dimension ref="A1:Q6"/>
  <sheetViews>
    <sheetView topLeftCell="D1" workbookViewId="0">
      <selection activeCell="A2" sqref="A2:Q3"/>
    </sheetView>
  </sheetViews>
  <sheetFormatPr defaultColWidth="9.140625" defaultRowHeight="15"/>
  <cols>
    <col min="1" max="3" width="9.140625" style="35"/>
    <col min="4" max="4" width="15.7109375" style="35" bestFit="1" customWidth="1"/>
    <col min="5" max="5" width="10.7109375" style="35" bestFit="1" customWidth="1"/>
    <col min="6" max="6" width="9.140625" style="35"/>
    <col min="7" max="7" width="18.85546875" style="35" bestFit="1" customWidth="1"/>
    <col min="8" max="8" width="14.28515625" style="35" bestFit="1" customWidth="1"/>
    <col min="9" max="9" width="11.42578125" style="35" bestFit="1" customWidth="1"/>
    <col min="10" max="16384" width="9.140625" style="35"/>
  </cols>
  <sheetData>
    <row r="1" spans="1:17" s="94" customFormat="1" ht="21">
      <c r="A1" s="97" t="s">
        <v>102</v>
      </c>
      <c r="B1" s="98"/>
      <c r="C1" s="98"/>
      <c r="D1" s="98"/>
      <c r="E1" s="99"/>
      <c r="F1" s="100"/>
      <c r="G1" s="98"/>
      <c r="H1" s="98"/>
      <c r="I1" s="98"/>
      <c r="J1" s="98"/>
      <c r="K1" s="98"/>
      <c r="L1" s="98"/>
      <c r="M1" s="98"/>
      <c r="N1" s="98"/>
      <c r="O1" s="98"/>
      <c r="P1" s="98"/>
      <c r="Q1" s="101"/>
    </row>
    <row r="2" spans="1:17" s="94" customFormat="1">
      <c r="A2" s="135" t="s">
        <v>95</v>
      </c>
      <c r="B2" s="136"/>
      <c r="C2" s="136"/>
      <c r="D2" s="136"/>
      <c r="E2" s="136"/>
      <c r="F2" s="136"/>
      <c r="G2" s="136"/>
      <c r="H2" s="136"/>
      <c r="I2" s="136"/>
      <c r="J2" s="136"/>
      <c r="K2" s="136"/>
      <c r="L2" s="136"/>
      <c r="M2" s="136"/>
      <c r="N2" s="136"/>
      <c r="O2" s="136"/>
      <c r="P2" s="136"/>
      <c r="Q2" s="137"/>
    </row>
    <row r="3" spans="1:17" s="94" customFormat="1" ht="15.75" thickBot="1">
      <c r="A3" s="138"/>
      <c r="B3" s="139"/>
      <c r="C3" s="139"/>
      <c r="D3" s="139"/>
      <c r="E3" s="139"/>
      <c r="F3" s="139"/>
      <c r="G3" s="139"/>
      <c r="H3" s="139"/>
      <c r="I3" s="139"/>
      <c r="J3" s="139"/>
      <c r="K3" s="139"/>
      <c r="L3" s="139"/>
      <c r="M3" s="139"/>
      <c r="N3" s="139"/>
      <c r="O3" s="139"/>
      <c r="P3" s="139"/>
      <c r="Q3" s="140"/>
    </row>
    <row r="4" spans="1:17" s="94" customFormat="1">
      <c r="A4" s="96"/>
      <c r="E4" s="95"/>
    </row>
    <row r="5" spans="1:17" s="94" customFormat="1">
      <c r="A5" s="96"/>
      <c r="B5" s="35"/>
      <c r="C5" s="35"/>
      <c r="D5" s="35"/>
      <c r="E5" s="35"/>
      <c r="F5" s="35"/>
      <c r="G5" s="35"/>
      <c r="H5" s="35"/>
      <c r="I5" s="35"/>
    </row>
    <row r="6" spans="1:17" s="94" customFormat="1">
      <c r="A6" s="96"/>
      <c r="B6" s="35"/>
      <c r="C6" s="35"/>
      <c r="D6" s="35"/>
      <c r="E6" s="35"/>
      <c r="F6" s="35"/>
      <c r="G6" s="35"/>
      <c r="H6" s="35"/>
      <c r="I6" s="35"/>
    </row>
  </sheetData>
  <mergeCells count="1">
    <mergeCell ref="A2:Q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11400-7B10-4C36-8C06-AE842F74BF60}">
  <sheetPr codeName="Sheet14"/>
  <dimension ref="A1:Q6"/>
  <sheetViews>
    <sheetView zoomScale="87" workbookViewId="0">
      <selection activeCell="S4" sqref="S4"/>
    </sheetView>
  </sheetViews>
  <sheetFormatPr defaultColWidth="9.140625" defaultRowHeight="15"/>
  <cols>
    <col min="1" max="3" width="9.140625" style="35"/>
    <col min="4" max="4" width="15.7109375" style="35" bestFit="1" customWidth="1"/>
    <col min="5" max="5" width="10.7109375" style="35" bestFit="1" customWidth="1"/>
    <col min="6" max="6" width="9.140625" style="35"/>
    <col min="7" max="7" width="18.85546875" style="35" bestFit="1" customWidth="1"/>
    <col min="8" max="8" width="14.28515625" style="35" bestFit="1" customWidth="1"/>
    <col min="9" max="9" width="11.42578125" style="35" bestFit="1" customWidth="1"/>
    <col min="10" max="17" width="9.140625" style="35"/>
    <col min="18" max="16384" width="9.140625" style="107"/>
  </cols>
  <sheetData>
    <row r="1" spans="1:17" s="94" customFormat="1" ht="21">
      <c r="A1" s="97" t="s">
        <v>101</v>
      </c>
      <c r="B1" s="98"/>
      <c r="C1" s="98"/>
      <c r="D1" s="98"/>
      <c r="E1" s="99"/>
      <c r="F1" s="100"/>
      <c r="G1" s="98"/>
      <c r="H1" s="98"/>
      <c r="I1" s="98"/>
      <c r="J1" s="98"/>
      <c r="K1" s="98"/>
      <c r="L1" s="98"/>
      <c r="M1" s="98"/>
      <c r="N1" s="98"/>
      <c r="O1" s="98"/>
      <c r="P1" s="98"/>
      <c r="Q1" s="101"/>
    </row>
    <row r="2" spans="1:17" s="105" customFormat="1" ht="21" customHeight="1">
      <c r="A2" s="135" t="s">
        <v>95</v>
      </c>
      <c r="B2" s="136"/>
      <c r="C2" s="136"/>
      <c r="D2" s="136"/>
      <c r="E2" s="136"/>
      <c r="F2" s="136"/>
      <c r="G2" s="136"/>
      <c r="H2" s="136"/>
      <c r="I2" s="136"/>
      <c r="J2" s="136"/>
      <c r="K2" s="136"/>
      <c r="L2" s="136"/>
      <c r="M2" s="136"/>
      <c r="N2" s="136"/>
      <c r="O2" s="136"/>
      <c r="P2" s="136"/>
      <c r="Q2" s="144"/>
    </row>
    <row r="3" spans="1:17" s="105" customFormat="1" ht="15" customHeight="1">
      <c r="A3" s="145"/>
      <c r="B3" s="146"/>
      <c r="C3" s="146"/>
      <c r="D3" s="146"/>
      <c r="E3" s="146"/>
      <c r="F3" s="146"/>
      <c r="G3" s="146"/>
      <c r="H3" s="146"/>
      <c r="I3" s="146"/>
      <c r="J3" s="146"/>
      <c r="K3" s="146"/>
      <c r="L3" s="146"/>
      <c r="M3" s="146"/>
      <c r="N3" s="146"/>
      <c r="O3" s="146"/>
      <c r="P3" s="146"/>
      <c r="Q3" s="147"/>
    </row>
    <row r="4" spans="1:17" s="106" customFormat="1">
      <c r="A4" s="96"/>
      <c r="B4" s="94"/>
      <c r="C4" s="94"/>
      <c r="D4" s="94"/>
      <c r="E4" s="95"/>
      <c r="F4" s="94"/>
      <c r="G4" s="94"/>
      <c r="H4" s="94"/>
      <c r="I4" s="94"/>
      <c r="J4" s="94"/>
      <c r="K4" s="94"/>
      <c r="L4" s="94"/>
      <c r="M4" s="94"/>
      <c r="N4" s="94"/>
      <c r="O4" s="94"/>
      <c r="P4" s="94"/>
      <c r="Q4" s="94"/>
    </row>
    <row r="5" spans="1:17" s="106" customFormat="1">
      <c r="A5" s="96"/>
      <c r="B5" s="35"/>
      <c r="C5" s="35"/>
      <c r="D5" s="35"/>
      <c r="E5" s="35"/>
      <c r="F5" s="35"/>
      <c r="G5" s="35"/>
      <c r="H5" s="35"/>
      <c r="I5" s="35"/>
      <c r="J5" s="94"/>
      <c r="K5" s="94"/>
      <c r="L5" s="94"/>
      <c r="M5" s="94"/>
      <c r="N5" s="94"/>
      <c r="O5" s="94"/>
      <c r="P5" s="94"/>
      <c r="Q5" s="94"/>
    </row>
    <row r="6" spans="1:17" s="106" customFormat="1">
      <c r="A6" s="96"/>
      <c r="B6" s="35"/>
      <c r="C6" s="35"/>
      <c r="D6" s="35"/>
      <c r="E6" s="35"/>
      <c r="F6" s="35"/>
      <c r="G6" s="35"/>
      <c r="H6" s="35"/>
      <c r="I6" s="35"/>
      <c r="J6" s="94"/>
      <c r="K6" s="94"/>
      <c r="L6" s="94"/>
      <c r="M6" s="94"/>
      <c r="N6" s="94"/>
      <c r="O6" s="94"/>
      <c r="P6" s="94"/>
      <c r="Q6" s="94"/>
    </row>
  </sheetData>
  <mergeCells count="1">
    <mergeCell ref="A2:Q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E3730-485E-4431-9BDB-93B6457985E9}">
  <sheetPr codeName="Sheet9"/>
  <dimension ref="A1:S43"/>
  <sheetViews>
    <sheetView zoomScale="90" zoomScaleNormal="90" workbookViewId="0">
      <selection activeCell="C22" sqref="C22"/>
    </sheetView>
  </sheetViews>
  <sheetFormatPr defaultColWidth="9.140625" defaultRowHeight="15"/>
  <cols>
    <col min="1" max="1" width="9.140625" style="35"/>
    <col min="2" max="2" width="12.7109375" style="35" bestFit="1" customWidth="1"/>
    <col min="3" max="3" width="28" style="35" bestFit="1" customWidth="1"/>
    <col min="4" max="4" width="21.85546875" style="35" bestFit="1" customWidth="1"/>
    <col min="5" max="5" width="31.28515625" style="35" bestFit="1" customWidth="1"/>
    <col min="6" max="6" width="18.85546875" style="35" bestFit="1" customWidth="1"/>
    <col min="7" max="7" width="14.28515625" style="35" bestFit="1" customWidth="1"/>
    <col min="8" max="8" width="16" style="35" bestFit="1" customWidth="1"/>
    <col min="9" max="14" width="9.140625" style="35"/>
    <col min="15" max="15" width="9.140625" style="35" customWidth="1"/>
    <col min="16" max="16384" width="9.140625" style="35"/>
  </cols>
  <sheetData>
    <row r="1" spans="1:19" ht="21">
      <c r="A1" s="36" t="s">
        <v>74</v>
      </c>
      <c r="B1" s="37"/>
      <c r="C1" s="38"/>
      <c r="D1" s="38"/>
      <c r="E1" s="39"/>
      <c r="F1" s="38"/>
      <c r="G1" s="37"/>
      <c r="H1" s="37"/>
      <c r="I1" s="38"/>
      <c r="J1" s="37"/>
      <c r="K1" s="37"/>
      <c r="L1" s="37"/>
      <c r="M1" s="37"/>
      <c r="N1" s="38"/>
      <c r="O1" s="37"/>
      <c r="P1" s="37"/>
      <c r="Q1" s="37"/>
      <c r="R1" s="37"/>
      <c r="S1" s="40"/>
    </row>
    <row r="2" spans="1:19" ht="21">
      <c r="A2" s="41" t="s">
        <v>75</v>
      </c>
      <c r="B2" s="42"/>
      <c r="C2" s="43"/>
      <c r="D2" s="43"/>
      <c r="E2" s="44"/>
      <c r="F2" s="42"/>
      <c r="G2" s="42"/>
      <c r="H2" s="42"/>
      <c r="I2" s="43"/>
      <c r="J2" s="42"/>
      <c r="K2" s="42"/>
      <c r="L2" s="42"/>
      <c r="M2" s="42"/>
      <c r="N2" s="43"/>
      <c r="O2" s="42"/>
      <c r="P2" s="42"/>
      <c r="Q2" s="42"/>
      <c r="R2" s="42"/>
      <c r="S2" s="45"/>
    </row>
    <row r="3" spans="1:19" ht="19.5" thickBot="1">
      <c r="A3" s="46" t="s">
        <v>76</v>
      </c>
      <c r="B3" s="47"/>
      <c r="C3" s="48"/>
      <c r="D3" s="48"/>
      <c r="E3" s="49"/>
      <c r="F3" s="47"/>
      <c r="G3" s="47"/>
      <c r="H3" s="47"/>
      <c r="I3" s="48"/>
      <c r="J3" s="47"/>
      <c r="K3" s="47"/>
      <c r="L3" s="47"/>
      <c r="M3" s="47"/>
      <c r="N3" s="48"/>
      <c r="O3" s="47"/>
      <c r="P3" s="47"/>
      <c r="Q3" s="47"/>
      <c r="R3" s="47"/>
      <c r="S3" s="50"/>
    </row>
    <row r="6" spans="1:19" ht="15.75" customHeight="1">
      <c r="C6" s="54"/>
      <c r="D6" s="54"/>
      <c r="E6" s="54"/>
      <c r="F6" s="54"/>
      <c r="G6" s="54"/>
      <c r="H6" s="54"/>
    </row>
    <row r="7" spans="1:19" ht="15.75" customHeight="1">
      <c r="B7" s="54" t="s">
        <v>3</v>
      </c>
      <c r="C7" s="53"/>
      <c r="D7" s="53"/>
      <c r="E7" s="53"/>
      <c r="F7" s="53"/>
      <c r="G7" s="53"/>
      <c r="H7" s="53"/>
    </row>
    <row r="8" spans="1:19">
      <c r="B8" s="149"/>
      <c r="C8" s="150"/>
      <c r="D8" s="148" t="s">
        <v>1</v>
      </c>
      <c r="E8" s="148"/>
      <c r="F8" s="148"/>
      <c r="G8" s="27"/>
      <c r="H8" s="108"/>
    </row>
    <row r="9" spans="1:19">
      <c r="B9" s="51" t="s">
        <v>2</v>
      </c>
      <c r="C9" s="34" t="s">
        <v>0</v>
      </c>
      <c r="D9" s="34" t="s">
        <v>7</v>
      </c>
      <c r="E9" s="34" t="s">
        <v>8</v>
      </c>
      <c r="F9" s="34" t="s">
        <v>9</v>
      </c>
      <c r="G9" s="34" t="s">
        <v>32</v>
      </c>
      <c r="H9" s="52" t="s">
        <v>5</v>
      </c>
    </row>
    <row r="10" spans="1:19">
      <c r="B10" s="6">
        <f t="shared" ref="B10:B16" si="0">B11-1</f>
        <v>2011</v>
      </c>
      <c r="C10" s="17">
        <v>70843</v>
      </c>
      <c r="D10" s="17">
        <v>33441</v>
      </c>
      <c r="E10" s="17">
        <v>7732</v>
      </c>
      <c r="F10" s="17">
        <v>5275</v>
      </c>
      <c r="G10" s="17">
        <f>SUM(D10:F10)</f>
        <v>46448</v>
      </c>
      <c r="H10" s="17">
        <f t="shared" ref="H10:H19" si="1">C10-SUM(D10:F10)</f>
        <v>24395</v>
      </c>
    </row>
    <row r="11" spans="1:19">
      <c r="B11" s="6">
        <f t="shared" si="0"/>
        <v>2012</v>
      </c>
      <c r="C11" s="17">
        <v>87858</v>
      </c>
      <c r="D11" s="17">
        <v>31860</v>
      </c>
      <c r="E11" s="17">
        <v>8683</v>
      </c>
      <c r="F11" s="17">
        <v>7369</v>
      </c>
      <c r="G11" s="17">
        <f>SUM(D11:F11)</f>
        <v>47912</v>
      </c>
      <c r="H11" s="17">
        <f t="shared" si="1"/>
        <v>39946</v>
      </c>
    </row>
    <row r="12" spans="1:19">
      <c r="B12" s="6">
        <f t="shared" si="0"/>
        <v>2013</v>
      </c>
      <c r="C12" s="17">
        <v>93759</v>
      </c>
      <c r="D12" s="17">
        <v>38325</v>
      </c>
      <c r="E12" s="17">
        <v>8188</v>
      </c>
      <c r="F12" s="17">
        <v>4246</v>
      </c>
      <c r="G12" s="17">
        <f t="shared" ref="G12:G19" si="2">SUM(D12:F12)</f>
        <v>50759</v>
      </c>
      <c r="H12" s="17">
        <f t="shared" si="1"/>
        <v>43000</v>
      </c>
    </row>
    <row r="13" spans="1:19">
      <c r="B13" s="6">
        <f t="shared" si="0"/>
        <v>2014</v>
      </c>
      <c r="C13" s="17">
        <v>78612</v>
      </c>
      <c r="D13" s="17">
        <v>31067</v>
      </c>
      <c r="E13" s="17">
        <v>8436</v>
      </c>
      <c r="F13" s="17">
        <v>5779</v>
      </c>
      <c r="G13" s="17">
        <f t="shared" si="2"/>
        <v>45282</v>
      </c>
      <c r="H13" s="17">
        <f t="shared" si="1"/>
        <v>33330</v>
      </c>
    </row>
    <row r="14" spans="1:19">
      <c r="B14" s="6">
        <f t="shared" si="0"/>
        <v>2015</v>
      </c>
      <c r="C14" s="17">
        <v>81687</v>
      </c>
      <c r="D14" s="17">
        <v>32870</v>
      </c>
      <c r="E14" s="17">
        <v>7782</v>
      </c>
      <c r="F14" s="17">
        <v>4424</v>
      </c>
      <c r="G14" s="17">
        <f t="shared" si="2"/>
        <v>45076</v>
      </c>
      <c r="H14" s="17">
        <f t="shared" si="1"/>
        <v>36611</v>
      </c>
    </row>
    <row r="15" spans="1:19">
      <c r="B15" s="6">
        <f t="shared" si="0"/>
        <v>2016</v>
      </c>
      <c r="C15" s="17">
        <v>65578</v>
      </c>
      <c r="D15" s="17">
        <v>25645</v>
      </c>
      <c r="E15" s="17">
        <v>6791</v>
      </c>
      <c r="F15" s="17">
        <v>5373</v>
      </c>
      <c r="G15" s="17">
        <f>SUM(D15:F15)</f>
        <v>37809</v>
      </c>
      <c r="H15" s="17">
        <f t="shared" si="1"/>
        <v>27769</v>
      </c>
    </row>
    <row r="16" spans="1:19">
      <c r="B16" s="6">
        <f t="shared" si="0"/>
        <v>2017</v>
      </c>
      <c r="C16" s="17">
        <v>89744</v>
      </c>
      <c r="D16" s="17">
        <v>35190</v>
      </c>
      <c r="E16" s="17">
        <v>7585</v>
      </c>
      <c r="F16" s="17">
        <v>6327</v>
      </c>
      <c r="G16" s="17">
        <f>SUM(D16:F16)</f>
        <v>49102</v>
      </c>
      <c r="H16" s="17">
        <f t="shared" si="1"/>
        <v>40642</v>
      </c>
    </row>
    <row r="17" spans="2:8">
      <c r="B17" s="6">
        <f>B18-1</f>
        <v>2018</v>
      </c>
      <c r="C17" s="17">
        <v>74268</v>
      </c>
      <c r="D17" s="17">
        <v>27552</v>
      </c>
      <c r="E17" s="17">
        <v>9093</v>
      </c>
      <c r="F17" s="17">
        <v>3877</v>
      </c>
      <c r="G17" s="17">
        <f t="shared" si="2"/>
        <v>40522</v>
      </c>
      <c r="H17" s="17">
        <f t="shared" si="1"/>
        <v>33746</v>
      </c>
    </row>
    <row r="18" spans="2:8">
      <c r="B18" s="6">
        <v>2019</v>
      </c>
      <c r="C18" s="17">
        <v>68740</v>
      </c>
      <c r="D18" s="17">
        <v>28877</v>
      </c>
      <c r="E18" s="17">
        <v>5792</v>
      </c>
      <c r="F18" s="17">
        <v>4749</v>
      </c>
      <c r="G18" s="17">
        <f t="shared" si="2"/>
        <v>39418</v>
      </c>
      <c r="H18" s="17">
        <f t="shared" si="1"/>
        <v>29322</v>
      </c>
    </row>
    <row r="19" spans="2:8">
      <c r="B19" s="6">
        <v>2020</v>
      </c>
      <c r="C19" s="17">
        <v>84425</v>
      </c>
      <c r="D19" s="17">
        <v>34964</v>
      </c>
      <c r="E19" s="17">
        <v>7233</v>
      </c>
      <c r="F19" s="17">
        <v>3263</v>
      </c>
      <c r="G19" s="17">
        <f t="shared" si="2"/>
        <v>45460</v>
      </c>
      <c r="H19" s="17">
        <f t="shared" si="1"/>
        <v>38965</v>
      </c>
    </row>
    <row r="20" spans="2:8" ht="15.75" thickBot="1"/>
    <row r="21" spans="2:8" ht="15.75" thickBot="1">
      <c r="C21" s="58" t="s">
        <v>124</v>
      </c>
      <c r="D21">
        <v>-1.7952986236462813E-4</v>
      </c>
      <c r="E21">
        <v>2.7404622208818825</v>
      </c>
      <c r="F21">
        <v>26782.612510064908</v>
      </c>
      <c r="H21" s="80" t="s">
        <v>77</v>
      </c>
    </row>
    <row r="22" spans="2:8" ht="15.75" thickBot="1">
      <c r="H22" s="55">
        <f>SUM(H10:H19)</f>
        <v>347726</v>
      </c>
    </row>
    <row r="23" spans="2:8">
      <c r="B23" s="51" t="s">
        <v>30</v>
      </c>
      <c r="C23" s="34" t="s">
        <v>78</v>
      </c>
      <c r="D23" s="34" t="s">
        <v>80</v>
      </c>
      <c r="E23" s="34" t="s">
        <v>79</v>
      </c>
    </row>
    <row r="24" spans="2:8">
      <c r="B24" s="16">
        <v>2011</v>
      </c>
      <c r="C24" s="110">
        <v>25808.670223654568</v>
      </c>
      <c r="D24" s="17">
        <f t="shared" ref="D24:D33" si="3">ABS(C24-D10)</f>
        <v>7632.329776345432</v>
      </c>
      <c r="E24" s="17">
        <f>$D$21*D24^2+$E$21*D24+$F$21</f>
        <v>37240.668185543087</v>
      </c>
    </row>
    <row r="25" spans="2:8">
      <c r="B25" s="16">
        <v>2012</v>
      </c>
      <c r="C25" s="109">
        <v>24227.670204253795</v>
      </c>
      <c r="D25" s="17">
        <f t="shared" si="3"/>
        <v>7632.3297957462055</v>
      </c>
      <c r="E25" s="17">
        <f t="shared" ref="E25:E33" si="4">$D$21*D25^2+$E$21*D25+$F$21</f>
        <v>37240.66818554308</v>
      </c>
    </row>
    <row r="26" spans="2:8">
      <c r="B26" s="16">
        <v>2013</v>
      </c>
      <c r="C26" s="110">
        <v>30000</v>
      </c>
      <c r="D26" s="17">
        <f t="shared" si="3"/>
        <v>8325</v>
      </c>
      <c r="E26" s="17">
        <f t="shared" si="4"/>
        <v>37154.531181562052</v>
      </c>
    </row>
    <row r="27" spans="2:8">
      <c r="B27" s="16">
        <v>2014</v>
      </c>
      <c r="C27" s="110">
        <v>23434.670242316151</v>
      </c>
      <c r="D27" s="17">
        <f t="shared" si="3"/>
        <v>7632.3297576838486</v>
      </c>
      <c r="E27" s="17">
        <f t="shared" si="4"/>
        <v>37240.668185543087</v>
      </c>
    </row>
    <row r="28" spans="2:8">
      <c r="B28" s="16">
        <v>2015</v>
      </c>
      <c r="C28" s="110">
        <v>25237.670238983734</v>
      </c>
      <c r="D28" s="17">
        <f t="shared" si="3"/>
        <v>7632.3297610162663</v>
      </c>
      <c r="E28" s="17">
        <f t="shared" si="4"/>
        <v>37240.66818554308</v>
      </c>
    </row>
    <row r="29" spans="2:8">
      <c r="B29" s="16">
        <v>2016</v>
      </c>
      <c r="C29" s="110">
        <v>18012.670225674905</v>
      </c>
      <c r="D29" s="17">
        <f t="shared" si="3"/>
        <v>7632.3297743250951</v>
      </c>
      <c r="E29" s="17">
        <f t="shared" si="4"/>
        <v>37240.66818554308</v>
      </c>
    </row>
    <row r="30" spans="2:8">
      <c r="B30" s="16">
        <v>2017</v>
      </c>
      <c r="C30" s="110">
        <v>27557.670207616589</v>
      </c>
      <c r="D30" s="17">
        <f t="shared" si="3"/>
        <v>7632.3297923834107</v>
      </c>
      <c r="E30" s="17">
        <f t="shared" si="4"/>
        <v>37240.66818554308</v>
      </c>
    </row>
    <row r="31" spans="2:8">
      <c r="B31" s="16">
        <v>2018</v>
      </c>
      <c r="C31" s="110">
        <v>19919.670219653479</v>
      </c>
      <c r="D31" s="17">
        <f t="shared" si="3"/>
        <v>7632.3297803465211</v>
      </c>
      <c r="E31" s="17">
        <f t="shared" si="4"/>
        <v>37240.66818554308</v>
      </c>
    </row>
    <row r="32" spans="2:8">
      <c r="B32" s="16">
        <v>2019</v>
      </c>
      <c r="C32" s="110">
        <v>21244.6702258843</v>
      </c>
      <c r="D32" s="17">
        <f t="shared" si="3"/>
        <v>7632.3297741157003</v>
      </c>
      <c r="E32" s="17">
        <f t="shared" si="4"/>
        <v>37240.66818554308</v>
      </c>
    </row>
    <row r="33" spans="2:8">
      <c r="B33" s="16">
        <v>2020</v>
      </c>
      <c r="C33" s="110">
        <v>27331.670218499105</v>
      </c>
      <c r="D33" s="17">
        <f t="shared" si="3"/>
        <v>7632.3297815008955</v>
      </c>
      <c r="E33" s="17">
        <f t="shared" si="4"/>
        <v>37240.66818554308</v>
      </c>
    </row>
    <row r="34" spans="2:8" ht="15.75" thickBot="1"/>
    <row r="35" spans="2:8" ht="15.75" thickBot="1">
      <c r="C35" s="80" t="s">
        <v>37</v>
      </c>
      <c r="E35" s="80" t="s">
        <v>93</v>
      </c>
      <c r="H35" s="81"/>
    </row>
    <row r="36" spans="2:8" ht="15.75" thickBot="1">
      <c r="C36" s="55">
        <f>SUM(C24:C33)</f>
        <v>242775.03200653664</v>
      </c>
      <c r="E36" s="55">
        <f>SUM(E24:E33)</f>
        <v>372320.54485144984</v>
      </c>
      <c r="H36" s="81"/>
    </row>
    <row r="38" spans="2:8" ht="15.75" thickBot="1">
      <c r="C38" s="56" t="s">
        <v>81</v>
      </c>
    </row>
    <row r="39" spans="2:8" ht="15.75" thickBot="1">
      <c r="C39" s="57">
        <v>250000</v>
      </c>
    </row>
    <row r="40" spans="2:8" ht="15.75" thickBot="1">
      <c r="C40" s="56" t="s">
        <v>91</v>
      </c>
    </row>
    <row r="41" spans="2:8" ht="15.75" thickBot="1">
      <c r="C41" s="57">
        <v>10000</v>
      </c>
    </row>
    <row r="42" spans="2:8" ht="15.75" thickBot="1">
      <c r="C42" s="56" t="s">
        <v>92</v>
      </c>
    </row>
    <row r="43" spans="2:8" ht="15.75" thickBot="1">
      <c r="C43" s="57">
        <v>30000</v>
      </c>
    </row>
  </sheetData>
  <mergeCells count="2">
    <mergeCell ref="D8:F8"/>
    <mergeCell ref="B8:C8"/>
  </mergeCells>
  <conditionalFormatting sqref="C24:C33">
    <cfRule type="expression" dxfId="41" priority="39">
      <formula>$E24&lt;=0</formula>
    </cfRule>
    <cfRule type="expression" dxfId="40" priority="40">
      <formula>$C24&lt;=0</formula>
    </cfRule>
    <cfRule type="expression" dxfId="39" priority="41">
      <formula>$C24&lt;=0</formula>
    </cfRule>
    <cfRule type="expression" dxfId="38" priority="42">
      <formula>$C24&lt;=0</formula>
    </cfRule>
  </conditionalFormatting>
  <conditionalFormatting sqref="E24:E33">
    <cfRule type="cellIs" dxfId="37" priority="1" operator="lessThan">
      <formula>0</formula>
    </cfRule>
    <cfRule type="cellIs" dxfId="36" priority="2" operator="lessThan">
      <formula>0</formula>
    </cfRule>
    <cfRule type="cellIs" dxfId="35" priority="3" operator="lessThan">
      <formula>0</formula>
    </cfRule>
    <cfRule type="cellIs" dxfId="34" priority="4" operator="lessThan">
      <formula>0</formula>
    </cfRule>
    <cfRule type="cellIs" dxfId="33" priority="5" operator="lessThan">
      <formula>0</formula>
    </cfRule>
    <cfRule type="cellIs" dxfId="32" priority="6" operator="lessThan">
      <formula>0</formula>
    </cfRule>
    <cfRule type="cellIs" dxfId="31" priority="7" operator="lessThan">
      <formula>0</formula>
    </cfRule>
    <cfRule type="cellIs" dxfId="30" priority="8" operator="lessThan">
      <formula>0</formula>
    </cfRule>
    <cfRule type="cellIs" dxfId="29" priority="9" operator="lessThan">
      <formula>0</formula>
    </cfRule>
    <cfRule type="cellIs" dxfId="28" priority="10" operator="lessThan">
      <formula>0</formula>
    </cfRule>
    <cfRule type="cellIs" dxfId="27" priority="11" operator="lessThan">
      <formula>0</formula>
    </cfRule>
    <cfRule type="cellIs" dxfId="26" priority="12" operator="lessThan">
      <formula>0</formula>
    </cfRule>
    <cfRule type="cellIs" dxfId="25" priority="13" operator="lessThan">
      <formula>0</formula>
    </cfRule>
    <cfRule type="cellIs" dxfId="24" priority="14" operator="lessThan">
      <formula>0</formula>
    </cfRule>
    <cfRule type="cellIs" dxfId="23" priority="15" operator="lessThan">
      <formula>0</formula>
    </cfRule>
    <cfRule type="cellIs" dxfId="22" priority="16" operator="lessThan">
      <formula>0</formula>
    </cfRule>
    <cfRule type="cellIs" dxfId="21" priority="17" operator="lessThan">
      <formula>0</formula>
    </cfRule>
    <cfRule type="cellIs" dxfId="20" priority="18" operator="lessThan">
      <formula>0</formula>
    </cfRule>
    <cfRule type="cellIs" dxfId="19" priority="19" operator="lessThan">
      <formula>0</formula>
    </cfRule>
    <cfRule type="cellIs" dxfId="18" priority="20" operator="lessThan">
      <formula>0</formula>
    </cfRule>
    <cfRule type="cellIs" dxfId="17" priority="21" operator="lessThan">
      <formula>0</formula>
    </cfRule>
    <cfRule type="cellIs" dxfId="16" priority="22" operator="lessThan">
      <formula>0</formula>
    </cfRule>
    <cfRule type="cellIs" dxfId="15" priority="23" operator="lessThan">
      <formula>0</formula>
    </cfRule>
    <cfRule type="cellIs" dxfId="14" priority="24" operator="lessThan">
      <formula>0</formula>
    </cfRule>
    <cfRule type="cellIs" dxfId="13" priority="25" operator="lessThan">
      <formula>0</formula>
    </cfRule>
    <cfRule type="cellIs" dxfId="12" priority="26" operator="lessThan">
      <formula>0</formula>
    </cfRule>
    <cfRule type="cellIs" dxfId="11" priority="27" operator="lessThan">
      <formula>0</formula>
    </cfRule>
    <cfRule type="cellIs" dxfId="10" priority="28" operator="lessThan">
      <formula>0</formula>
    </cfRule>
    <cfRule type="cellIs" dxfId="9" priority="29" operator="lessThan">
      <formula>0</formula>
    </cfRule>
    <cfRule type="cellIs" dxfId="8" priority="30" operator="lessThan">
      <formula>0</formula>
    </cfRule>
    <cfRule type="cellIs" dxfId="7" priority="31" operator="lessThan">
      <formula>0</formula>
    </cfRule>
    <cfRule type="cellIs" dxfId="6" priority="32" operator="lessThan">
      <formula>0</formula>
    </cfRule>
    <cfRule type="cellIs" dxfId="5" priority="33" operator="lessThan">
      <formula>0</formula>
    </cfRule>
    <cfRule type="cellIs" dxfId="4" priority="34" operator="lessThan">
      <formula>0</formula>
    </cfRule>
    <cfRule type="cellIs" dxfId="3" priority="35" operator="lessThan">
      <formula>0</formula>
    </cfRule>
    <cfRule type="cellIs" dxfId="2" priority="36" operator="lessThan">
      <formula>0</formula>
    </cfRule>
    <cfRule type="cellIs" dxfId="1" priority="37" operator="lessThan">
      <formula>0</formula>
    </cfRule>
    <cfRule type="cellIs" dxfId="0" priority="38" operator="lessThan">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57E5E-F6F9-4D9F-9C73-7110A5095817}">
  <sheetPr codeName="Sheet1">
    <pageSetUpPr fitToPage="1"/>
  </sheetPr>
  <dimension ref="A1:T28"/>
  <sheetViews>
    <sheetView workbookViewId="0">
      <selection activeCell="L4" sqref="L4"/>
    </sheetView>
  </sheetViews>
  <sheetFormatPr defaultColWidth="8.7109375" defaultRowHeight="15"/>
  <cols>
    <col min="1" max="16384" width="8.7109375" style="35"/>
  </cols>
  <sheetData>
    <row r="1" spans="1:20" ht="21">
      <c r="A1" s="97" t="s">
        <v>110</v>
      </c>
      <c r="B1" s="98"/>
      <c r="C1" s="98"/>
      <c r="D1" s="98"/>
      <c r="E1" s="99"/>
      <c r="F1" s="100"/>
      <c r="G1" s="98"/>
      <c r="H1" s="98"/>
      <c r="I1" s="98"/>
      <c r="J1" s="98"/>
      <c r="K1" s="98"/>
      <c r="L1" s="98"/>
      <c r="M1" s="98"/>
      <c r="N1" s="98"/>
      <c r="O1" s="98"/>
      <c r="P1" s="98"/>
      <c r="Q1" s="101"/>
    </row>
    <row r="2" spans="1:20">
      <c r="A2" s="135" t="s">
        <v>109</v>
      </c>
      <c r="B2" s="136"/>
      <c r="C2" s="136"/>
      <c r="D2" s="136"/>
      <c r="E2" s="136"/>
      <c r="F2" s="136"/>
      <c r="G2" s="136"/>
      <c r="H2" s="136"/>
      <c r="I2" s="136"/>
      <c r="J2" s="136"/>
      <c r="K2" s="136"/>
      <c r="L2" s="136"/>
      <c r="M2" s="136"/>
      <c r="N2" s="136"/>
      <c r="O2" s="136"/>
      <c r="P2" s="136"/>
      <c r="Q2" s="137"/>
    </row>
    <row r="3" spans="1:20" ht="15.75" thickBot="1">
      <c r="A3" s="138"/>
      <c r="B3" s="139"/>
      <c r="C3" s="139"/>
      <c r="D3" s="139"/>
      <c r="E3" s="139"/>
      <c r="F3" s="139"/>
      <c r="G3" s="139"/>
      <c r="H3" s="139"/>
      <c r="I3" s="139"/>
      <c r="J3" s="139"/>
      <c r="K3" s="139"/>
      <c r="L3" s="139"/>
      <c r="M3" s="139"/>
      <c r="N3" s="139"/>
      <c r="O3" s="139"/>
      <c r="P3" s="139"/>
      <c r="Q3" s="140"/>
    </row>
    <row r="4" spans="1:20">
      <c r="A4" s="96"/>
      <c r="B4" s="94"/>
      <c r="C4" s="94"/>
      <c r="D4" s="94"/>
      <c r="E4" s="95"/>
      <c r="F4" s="94"/>
      <c r="G4" s="94"/>
      <c r="H4" s="94"/>
      <c r="I4" s="94"/>
      <c r="J4" s="94"/>
      <c r="K4" s="94"/>
      <c r="L4" s="94"/>
      <c r="M4" s="94"/>
      <c r="N4" s="94"/>
      <c r="O4" s="94"/>
      <c r="P4" s="94"/>
      <c r="Q4" s="94"/>
    </row>
    <row r="5" spans="1:20">
      <c r="B5" s="35" t="s">
        <v>111</v>
      </c>
    </row>
    <row r="6" spans="1:20" ht="14.45" customHeight="1">
      <c r="B6" s="111" t="s">
        <v>125</v>
      </c>
      <c r="C6" s="112"/>
      <c r="D6" s="112"/>
      <c r="E6" s="92"/>
      <c r="F6" s="92"/>
      <c r="G6" s="92"/>
      <c r="H6" s="92"/>
      <c r="I6" s="92"/>
      <c r="J6" s="92"/>
      <c r="K6" s="92"/>
      <c r="L6" s="92"/>
      <c r="M6" s="92"/>
      <c r="N6" s="92"/>
      <c r="O6" s="92"/>
      <c r="P6" s="92"/>
      <c r="Q6" s="92"/>
      <c r="R6" s="92"/>
      <c r="S6" s="92"/>
      <c r="T6" s="92"/>
    </row>
    <row r="7" spans="1:20" ht="15" customHeight="1">
      <c r="B7" s="111" t="s">
        <v>126</v>
      </c>
      <c r="C7" s="92"/>
      <c r="D7" s="92"/>
      <c r="E7" s="92"/>
      <c r="F7" s="92"/>
      <c r="G7" s="92"/>
      <c r="H7" s="92"/>
      <c r="I7" s="92"/>
      <c r="J7" s="92"/>
      <c r="K7" s="92"/>
      <c r="L7" s="92"/>
      <c r="M7" s="92"/>
      <c r="N7" s="92"/>
      <c r="O7" s="92"/>
      <c r="P7" s="92"/>
      <c r="Q7" s="92"/>
      <c r="R7" s="92"/>
      <c r="S7" s="92"/>
      <c r="T7" s="92"/>
    </row>
    <row r="8" spans="1:20">
      <c r="B8" s="111" t="s">
        <v>127</v>
      </c>
      <c r="C8" s="92"/>
      <c r="D8" s="92"/>
      <c r="E8" s="92"/>
      <c r="F8" s="92"/>
      <c r="G8" s="92"/>
      <c r="H8" s="92"/>
      <c r="I8" s="92"/>
      <c r="J8" s="92"/>
      <c r="K8" s="92"/>
      <c r="L8" s="92"/>
      <c r="M8" s="92"/>
      <c r="N8" s="92"/>
      <c r="O8" s="92"/>
      <c r="P8" s="92"/>
      <c r="Q8" s="92"/>
      <c r="R8" s="92"/>
      <c r="S8" s="92"/>
      <c r="T8" s="92"/>
    </row>
    <row r="9" spans="1:20">
      <c r="B9" s="111" t="s">
        <v>128</v>
      </c>
      <c r="C9" s="92"/>
      <c r="D9" s="92"/>
      <c r="E9" s="92"/>
      <c r="F9" s="92"/>
      <c r="G9" s="92"/>
      <c r="H9" s="92"/>
      <c r="I9" s="92"/>
      <c r="J9" s="92"/>
      <c r="K9" s="92"/>
      <c r="L9" s="92"/>
      <c r="M9" s="92"/>
      <c r="N9" s="92"/>
      <c r="O9" s="92"/>
      <c r="P9" s="92"/>
      <c r="Q9" s="92"/>
      <c r="R9" s="92"/>
      <c r="S9" s="92"/>
      <c r="T9" s="92"/>
    </row>
    <row r="10" spans="1:20">
      <c r="B10" s="111" t="s">
        <v>129</v>
      </c>
      <c r="C10" s="92"/>
      <c r="D10" s="92"/>
      <c r="E10" s="92"/>
      <c r="F10" s="92"/>
      <c r="G10" s="92"/>
      <c r="H10" s="92"/>
      <c r="I10" s="92"/>
      <c r="J10" s="92"/>
      <c r="K10" s="92"/>
      <c r="L10" s="92"/>
      <c r="M10" s="92"/>
      <c r="N10" s="92"/>
      <c r="O10" s="92"/>
      <c r="P10" s="92"/>
      <c r="Q10" s="92"/>
      <c r="R10" s="92"/>
      <c r="S10" s="92"/>
      <c r="T10" s="92"/>
    </row>
    <row r="11" spans="1:20">
      <c r="B11" s="111" t="s">
        <v>130</v>
      </c>
      <c r="C11" s="92"/>
      <c r="D11" s="92"/>
      <c r="E11" s="92"/>
      <c r="F11" s="92"/>
      <c r="G11" s="92"/>
      <c r="H11" s="92"/>
      <c r="I11" s="92"/>
      <c r="J11" s="92"/>
      <c r="K11" s="92"/>
      <c r="L11" s="92"/>
      <c r="M11" s="92"/>
      <c r="N11" s="92"/>
      <c r="O11" s="92"/>
      <c r="P11" s="92"/>
      <c r="Q11" s="92"/>
      <c r="R11" s="92"/>
      <c r="S11" s="92"/>
      <c r="T11" s="92"/>
    </row>
    <row r="12" spans="1:20">
      <c r="B12" s="111" t="s">
        <v>131</v>
      </c>
      <c r="C12" s="92"/>
      <c r="D12" s="92"/>
      <c r="E12" s="92"/>
      <c r="F12" s="92"/>
      <c r="G12" s="92"/>
      <c r="H12" s="92"/>
      <c r="I12" s="92"/>
      <c r="J12" s="92"/>
      <c r="K12" s="92"/>
      <c r="L12" s="92"/>
      <c r="M12" s="92"/>
      <c r="N12" s="92"/>
      <c r="O12" s="92"/>
      <c r="P12" s="92"/>
      <c r="Q12" s="92"/>
      <c r="R12" s="92"/>
      <c r="S12" s="92"/>
      <c r="T12" s="92"/>
    </row>
    <row r="13" spans="1:20">
      <c r="B13" s="111" t="s">
        <v>132</v>
      </c>
      <c r="C13" s="92"/>
      <c r="D13" s="92"/>
      <c r="E13" s="92"/>
      <c r="F13" s="92"/>
      <c r="G13" s="92"/>
      <c r="H13" s="92"/>
      <c r="I13" s="92"/>
      <c r="J13" s="92"/>
      <c r="K13" s="92"/>
      <c r="L13" s="92"/>
      <c r="M13" s="92"/>
      <c r="N13" s="92"/>
      <c r="O13" s="92"/>
      <c r="P13" s="92"/>
      <c r="Q13" s="92"/>
      <c r="R13" s="92"/>
      <c r="S13" s="92"/>
      <c r="T13" s="92"/>
    </row>
    <row r="14" spans="1:20">
      <c r="B14" s="111" t="s">
        <v>133</v>
      </c>
      <c r="C14" s="92"/>
      <c r="D14" s="92"/>
      <c r="E14" s="92"/>
      <c r="F14" s="92"/>
      <c r="G14" s="92"/>
      <c r="H14" s="92"/>
      <c r="I14" s="92"/>
      <c r="J14" s="92"/>
      <c r="K14" s="92"/>
      <c r="L14" s="92"/>
      <c r="M14" s="92"/>
      <c r="N14" s="92"/>
      <c r="O14" s="92"/>
      <c r="P14" s="92"/>
      <c r="Q14" s="92"/>
      <c r="R14" s="92"/>
      <c r="S14" s="92"/>
      <c r="T14" s="92"/>
    </row>
    <row r="15" spans="1:20">
      <c r="B15" s="111" t="s">
        <v>134</v>
      </c>
      <c r="C15" s="92"/>
      <c r="D15" s="92"/>
      <c r="E15" s="92"/>
      <c r="F15" s="92"/>
      <c r="G15" s="92"/>
      <c r="H15" s="92"/>
      <c r="I15" s="92"/>
      <c r="J15" s="92"/>
      <c r="K15" s="92"/>
      <c r="L15" s="92"/>
      <c r="M15" s="92"/>
      <c r="N15" s="92"/>
      <c r="O15" s="92"/>
      <c r="P15" s="92"/>
      <c r="Q15" s="92"/>
      <c r="R15" s="92"/>
      <c r="S15" s="92"/>
      <c r="T15" s="92"/>
    </row>
    <row r="16" spans="1:20">
      <c r="B16" s="112" t="s">
        <v>135</v>
      </c>
      <c r="C16" s="92"/>
      <c r="D16" s="92"/>
      <c r="E16" s="92"/>
      <c r="F16" s="92"/>
      <c r="G16" s="92"/>
      <c r="H16" s="92"/>
      <c r="I16" s="92"/>
      <c r="J16" s="92"/>
      <c r="K16" s="92"/>
      <c r="L16" s="92"/>
      <c r="M16" s="92"/>
      <c r="N16" s="92"/>
      <c r="O16" s="92"/>
      <c r="P16" s="92"/>
      <c r="Q16" s="92"/>
      <c r="R16" s="92"/>
      <c r="S16" s="92"/>
      <c r="T16" s="92"/>
    </row>
    <row r="17" spans="2:20">
      <c r="B17" s="112" t="s">
        <v>136</v>
      </c>
      <c r="C17" s="92"/>
      <c r="D17" s="92"/>
      <c r="E17" s="92"/>
      <c r="F17" s="92"/>
      <c r="G17" s="92"/>
      <c r="H17" s="92"/>
      <c r="I17" s="92"/>
      <c r="J17" s="92"/>
      <c r="K17" s="92"/>
      <c r="L17" s="92"/>
      <c r="M17" s="92"/>
      <c r="N17" s="92"/>
      <c r="O17" s="92"/>
      <c r="P17" s="92"/>
      <c r="Q17" s="92"/>
      <c r="R17" s="92"/>
      <c r="S17" s="92"/>
      <c r="T17" s="92"/>
    </row>
    <row r="18" spans="2:20">
      <c r="B18" s="112" t="s">
        <v>137</v>
      </c>
      <c r="C18" s="92"/>
      <c r="D18" s="92"/>
      <c r="E18" s="92"/>
      <c r="F18" s="92"/>
      <c r="G18" s="92"/>
      <c r="H18" s="92"/>
      <c r="I18" s="92"/>
      <c r="J18" s="92"/>
      <c r="K18" s="92"/>
      <c r="L18" s="92"/>
      <c r="M18" s="92"/>
      <c r="N18" s="92"/>
      <c r="O18" s="92"/>
      <c r="P18" s="92"/>
      <c r="Q18" s="92"/>
      <c r="R18" s="92"/>
      <c r="S18" s="92"/>
      <c r="T18" s="92"/>
    </row>
    <row r="19" spans="2:20">
      <c r="B19" s="112" t="s">
        <v>138</v>
      </c>
      <c r="C19" s="92"/>
      <c r="D19" s="92"/>
      <c r="E19" s="92"/>
      <c r="F19" s="92"/>
      <c r="G19" s="92"/>
      <c r="H19" s="92"/>
      <c r="I19" s="92"/>
      <c r="J19" s="92"/>
      <c r="K19" s="92"/>
      <c r="L19" s="92"/>
      <c r="M19" s="92"/>
      <c r="N19" s="92"/>
      <c r="O19" s="92"/>
      <c r="P19" s="92"/>
      <c r="Q19" s="92"/>
      <c r="R19" s="92"/>
      <c r="S19" s="92"/>
      <c r="T19" s="92"/>
    </row>
    <row r="20" spans="2:20">
      <c r="B20" s="112" t="s">
        <v>139</v>
      </c>
      <c r="C20" s="92"/>
      <c r="D20" s="92"/>
      <c r="E20" s="92"/>
      <c r="F20" s="92"/>
      <c r="G20" s="92"/>
      <c r="H20" s="92"/>
      <c r="I20" s="92"/>
      <c r="J20" s="92"/>
      <c r="K20" s="92"/>
      <c r="L20" s="92"/>
      <c r="M20" s="92"/>
      <c r="N20" s="92"/>
      <c r="O20" s="92"/>
      <c r="P20" s="92"/>
      <c r="Q20" s="92"/>
      <c r="R20" s="92"/>
      <c r="S20" s="92"/>
      <c r="T20" s="92"/>
    </row>
    <row r="21" spans="2:20">
      <c r="B21" s="112" t="s">
        <v>140</v>
      </c>
      <c r="C21" s="112"/>
      <c r="D21" s="92"/>
      <c r="E21" s="92"/>
      <c r="F21" s="92"/>
      <c r="G21" s="92"/>
      <c r="H21" s="92"/>
      <c r="I21" s="92"/>
      <c r="J21" s="92"/>
      <c r="K21" s="92"/>
      <c r="L21" s="92"/>
      <c r="M21" s="92"/>
      <c r="N21" s="92"/>
      <c r="O21" s="92"/>
      <c r="P21" s="92"/>
      <c r="Q21" s="92"/>
      <c r="R21" s="92"/>
      <c r="S21" s="92"/>
      <c r="T21" s="92"/>
    </row>
    <row r="22" spans="2:20">
      <c r="B22" s="112" t="s">
        <v>141</v>
      </c>
      <c r="C22" s="92"/>
      <c r="D22" s="92"/>
      <c r="E22" s="92"/>
      <c r="F22" s="92"/>
      <c r="G22" s="92"/>
      <c r="H22" s="92"/>
      <c r="I22" s="92"/>
      <c r="J22" s="92"/>
      <c r="K22" s="92"/>
      <c r="L22" s="92"/>
      <c r="M22" s="92"/>
      <c r="N22" s="92"/>
      <c r="O22" s="92"/>
      <c r="P22" s="92"/>
      <c r="Q22" s="92"/>
      <c r="R22" s="92"/>
      <c r="S22" s="92"/>
      <c r="T22" s="92"/>
    </row>
    <row r="23" spans="2:20">
      <c r="B23" s="112" t="s">
        <v>142</v>
      </c>
      <c r="C23" s="92"/>
      <c r="D23" s="92"/>
      <c r="E23" s="92"/>
      <c r="F23" s="92"/>
      <c r="G23" s="92"/>
      <c r="H23" s="92"/>
      <c r="I23" s="92"/>
      <c r="J23" s="92"/>
      <c r="K23" s="92"/>
      <c r="L23" s="92"/>
      <c r="M23" s="92"/>
      <c r="N23" s="92"/>
      <c r="O23" s="92"/>
      <c r="P23" s="92"/>
      <c r="Q23" s="92"/>
      <c r="R23" s="92"/>
      <c r="S23" s="92"/>
      <c r="T23" s="92"/>
    </row>
    <row r="24" spans="2:20">
      <c r="B24" s="112" t="s">
        <v>143</v>
      </c>
      <c r="C24" s="92"/>
      <c r="D24" s="92"/>
      <c r="E24" s="92"/>
      <c r="F24" s="92"/>
      <c r="G24" s="92"/>
      <c r="H24" s="92"/>
      <c r="I24" s="92"/>
      <c r="J24" s="92"/>
      <c r="K24" s="92"/>
      <c r="L24" s="92"/>
      <c r="M24" s="92"/>
      <c r="N24" s="92"/>
      <c r="O24" s="92"/>
      <c r="P24" s="92"/>
      <c r="Q24" s="92"/>
      <c r="R24" s="92"/>
      <c r="S24" s="92"/>
      <c r="T24" s="92"/>
    </row>
    <row r="25" spans="2:20">
      <c r="B25" s="112" t="s">
        <v>144</v>
      </c>
      <c r="C25" s="92"/>
      <c r="D25" s="92"/>
      <c r="E25" s="92"/>
      <c r="F25" s="92"/>
      <c r="G25" s="92"/>
      <c r="H25" s="92"/>
      <c r="I25" s="92"/>
      <c r="J25" s="92"/>
      <c r="K25" s="92"/>
      <c r="L25" s="92"/>
      <c r="M25" s="92"/>
      <c r="N25" s="92"/>
      <c r="O25" s="92"/>
      <c r="P25" s="92"/>
      <c r="Q25" s="92"/>
      <c r="R25" s="92"/>
      <c r="S25" s="92"/>
      <c r="T25" s="92"/>
    </row>
    <row r="26" spans="2:20">
      <c r="B26" s="92"/>
      <c r="C26" s="92"/>
      <c r="D26" s="92"/>
      <c r="E26" s="92"/>
      <c r="F26" s="92"/>
      <c r="G26" s="92"/>
      <c r="H26" s="92"/>
      <c r="I26" s="92"/>
      <c r="J26" s="92"/>
      <c r="K26" s="92"/>
      <c r="L26" s="92"/>
      <c r="M26" s="92"/>
      <c r="N26" s="92"/>
      <c r="O26" s="92"/>
      <c r="P26" s="92"/>
      <c r="Q26" s="92"/>
      <c r="R26" s="92"/>
      <c r="S26" s="92"/>
      <c r="T26" s="92"/>
    </row>
    <row r="27" spans="2:20">
      <c r="B27" s="134"/>
      <c r="C27" s="92"/>
      <c r="D27" s="92"/>
      <c r="E27" s="92"/>
      <c r="F27" s="92"/>
      <c r="G27" s="92"/>
      <c r="H27" s="92"/>
      <c r="I27" s="92"/>
      <c r="J27" s="92"/>
      <c r="K27" s="92"/>
      <c r="L27" s="92"/>
      <c r="M27" s="92"/>
      <c r="N27" s="92"/>
      <c r="O27" s="92"/>
      <c r="P27" s="92"/>
      <c r="Q27" s="92"/>
      <c r="R27" s="92"/>
      <c r="S27" s="92"/>
      <c r="T27" s="92"/>
    </row>
    <row r="28" spans="2:20">
      <c r="B28" s="92" t="s">
        <v>145</v>
      </c>
      <c r="C28" s="92"/>
      <c r="D28" s="92"/>
      <c r="E28" s="92"/>
      <c r="F28" s="92"/>
      <c r="G28" s="92"/>
      <c r="H28" s="92"/>
      <c r="I28" s="92"/>
      <c r="J28" s="92"/>
      <c r="K28" s="92"/>
      <c r="L28" s="92"/>
      <c r="M28" s="92"/>
      <c r="N28" s="92"/>
      <c r="O28" s="92"/>
      <c r="P28" s="92"/>
      <c r="Q28" s="92"/>
      <c r="R28" s="92"/>
      <c r="S28" s="92"/>
      <c r="T28" s="92"/>
    </row>
  </sheetData>
  <mergeCells count="1">
    <mergeCell ref="A2:Q3"/>
  </mergeCells>
  <pageMargins left="0.7" right="0.7" top="0.75" bottom="0.75" header="0.3" footer="0.3"/>
  <pageSetup scale="41"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98D1-0DA5-4283-A41E-41F9E710027D}">
  <sheetPr codeName="Sheet7"/>
  <dimension ref="A2:O177"/>
  <sheetViews>
    <sheetView zoomScale="74" zoomScaleNormal="90" workbookViewId="0">
      <selection activeCell="F43" sqref="F43"/>
    </sheetView>
  </sheetViews>
  <sheetFormatPr defaultRowHeight="15"/>
  <cols>
    <col min="2" max="2" width="21.85546875" customWidth="1"/>
    <col min="3" max="3" width="22.140625" customWidth="1"/>
    <col min="4" max="4" width="23.7109375" bestFit="1" customWidth="1"/>
    <col min="5" max="5" width="29.42578125" bestFit="1" customWidth="1"/>
    <col min="6" max="6" width="28.42578125" bestFit="1" customWidth="1"/>
    <col min="7" max="7" width="28.42578125" customWidth="1"/>
    <col min="8" max="8" width="22.140625" customWidth="1"/>
    <col min="9" max="9" width="23.28515625" customWidth="1"/>
    <col min="10" max="10" width="21.42578125" customWidth="1"/>
    <col min="13" max="13" width="21.5703125" bestFit="1" customWidth="1"/>
    <col min="14" max="14" width="33.42578125" bestFit="1" customWidth="1"/>
    <col min="15" max="15" width="21.5703125" bestFit="1" customWidth="1"/>
  </cols>
  <sheetData>
    <row r="2" spans="1:8">
      <c r="C2" s="26"/>
      <c r="D2" s="151" t="s">
        <v>1</v>
      </c>
      <c r="E2" s="151"/>
      <c r="F2" s="151"/>
      <c r="G2" s="27"/>
    </row>
    <row r="3" spans="1:8">
      <c r="B3" s="8" t="s">
        <v>2</v>
      </c>
      <c r="C3" s="29" t="s">
        <v>0</v>
      </c>
      <c r="D3" s="29" t="s">
        <v>7</v>
      </c>
      <c r="E3" s="29" t="s">
        <v>8</v>
      </c>
      <c r="F3" s="29" t="s">
        <v>9</v>
      </c>
      <c r="G3" s="29" t="s">
        <v>32</v>
      </c>
      <c r="H3" s="9" t="s">
        <v>5</v>
      </c>
    </row>
    <row r="4" spans="1:8">
      <c r="A4" t="s">
        <v>3</v>
      </c>
      <c r="B4" s="6">
        <f t="shared" ref="B4:B10" si="0">B5-1</f>
        <v>2011</v>
      </c>
      <c r="C4" s="17">
        <v>70843</v>
      </c>
      <c r="D4" s="17">
        <v>33441</v>
      </c>
      <c r="E4" s="17">
        <v>7732</v>
      </c>
      <c r="F4" s="17">
        <v>5275</v>
      </c>
      <c r="G4" s="17">
        <f>SUM(D4:F4)</f>
        <v>46448</v>
      </c>
      <c r="H4" s="17">
        <f t="shared" ref="H4:H41" si="1">C4-SUM(D4:F4)</f>
        <v>24395</v>
      </c>
    </row>
    <row r="5" spans="1:8">
      <c r="B5" s="6">
        <f t="shared" si="0"/>
        <v>2012</v>
      </c>
      <c r="C5" s="17">
        <v>87858</v>
      </c>
      <c r="D5" s="17">
        <v>31860</v>
      </c>
      <c r="E5" s="17">
        <v>8683</v>
      </c>
      <c r="F5" s="17">
        <v>7369</v>
      </c>
      <c r="G5" s="17">
        <f>SUM(D5:F5)</f>
        <v>47912</v>
      </c>
      <c r="H5" s="17">
        <f t="shared" si="1"/>
        <v>39946</v>
      </c>
    </row>
    <row r="6" spans="1:8">
      <c r="B6" s="6">
        <f t="shared" si="0"/>
        <v>2013</v>
      </c>
      <c r="C6" s="17">
        <v>93759</v>
      </c>
      <c r="D6" s="17">
        <v>38325</v>
      </c>
      <c r="E6" s="17">
        <v>8188</v>
      </c>
      <c r="F6" s="17">
        <v>4246</v>
      </c>
      <c r="G6" s="17">
        <f t="shared" ref="G6:G41" si="2">SUM(D6:F6)</f>
        <v>50759</v>
      </c>
      <c r="H6" s="17">
        <f t="shared" si="1"/>
        <v>43000</v>
      </c>
    </row>
    <row r="7" spans="1:8">
      <c r="B7" s="6">
        <f t="shared" si="0"/>
        <v>2014</v>
      </c>
      <c r="C7" s="17">
        <v>78612</v>
      </c>
      <c r="D7" s="17">
        <v>31067</v>
      </c>
      <c r="E7" s="17">
        <v>8436</v>
      </c>
      <c r="F7" s="17">
        <v>5779</v>
      </c>
      <c r="G7" s="17">
        <f t="shared" si="2"/>
        <v>45282</v>
      </c>
      <c r="H7" s="17">
        <f t="shared" si="1"/>
        <v>33330</v>
      </c>
    </row>
    <row r="8" spans="1:8">
      <c r="B8" s="6">
        <f t="shared" si="0"/>
        <v>2015</v>
      </c>
      <c r="C8" s="17">
        <v>81687</v>
      </c>
      <c r="D8" s="17">
        <v>32870</v>
      </c>
      <c r="E8" s="17">
        <v>7782</v>
      </c>
      <c r="F8" s="17">
        <v>4424</v>
      </c>
      <c r="G8" s="17">
        <f t="shared" si="2"/>
        <v>45076</v>
      </c>
      <c r="H8" s="17">
        <f t="shared" si="1"/>
        <v>36611</v>
      </c>
    </row>
    <row r="9" spans="1:8">
      <c r="B9" s="6">
        <f t="shared" si="0"/>
        <v>2016</v>
      </c>
      <c r="C9" s="17">
        <v>65578</v>
      </c>
      <c r="D9" s="17">
        <v>25645</v>
      </c>
      <c r="E9" s="17">
        <v>6791</v>
      </c>
      <c r="F9" s="17">
        <v>5373</v>
      </c>
      <c r="G9" s="17">
        <f>SUM(D9:F9)</f>
        <v>37809</v>
      </c>
      <c r="H9" s="17">
        <f t="shared" si="1"/>
        <v>27769</v>
      </c>
    </row>
    <row r="10" spans="1:8">
      <c r="B10" s="6">
        <f t="shared" si="0"/>
        <v>2017</v>
      </c>
      <c r="C10" s="17">
        <v>89744</v>
      </c>
      <c r="D10" s="17">
        <v>35190</v>
      </c>
      <c r="E10" s="17">
        <v>7585</v>
      </c>
      <c r="F10" s="17">
        <v>6327</v>
      </c>
      <c r="G10" s="17">
        <f>SUM(D10:F10)</f>
        <v>49102</v>
      </c>
      <c r="H10" s="17">
        <f t="shared" si="1"/>
        <v>40642</v>
      </c>
    </row>
    <row r="11" spans="1:8">
      <c r="B11" s="6">
        <f>B12-1</f>
        <v>2018</v>
      </c>
      <c r="C11" s="17">
        <v>74268</v>
      </c>
      <c r="D11" s="17">
        <v>27552</v>
      </c>
      <c r="E11" s="17">
        <v>9093</v>
      </c>
      <c r="F11" s="17">
        <v>3877</v>
      </c>
      <c r="G11" s="17">
        <f t="shared" si="2"/>
        <v>40522</v>
      </c>
      <c r="H11" s="17">
        <f t="shared" si="1"/>
        <v>33746</v>
      </c>
    </row>
    <row r="12" spans="1:8">
      <c r="B12" s="6">
        <v>2019</v>
      </c>
      <c r="C12" s="17">
        <v>68740</v>
      </c>
      <c r="D12" s="17">
        <v>28877</v>
      </c>
      <c r="E12" s="17">
        <v>5792</v>
      </c>
      <c r="F12" s="17">
        <v>4749</v>
      </c>
      <c r="G12" s="17">
        <f t="shared" si="2"/>
        <v>39418</v>
      </c>
      <c r="H12" s="17">
        <f t="shared" si="1"/>
        <v>29322</v>
      </c>
    </row>
    <row r="13" spans="1:8">
      <c r="B13" s="6">
        <v>2020</v>
      </c>
      <c r="C13" s="17">
        <v>84425</v>
      </c>
      <c r="D13" s="17">
        <v>34964</v>
      </c>
      <c r="E13" s="17">
        <v>7233</v>
      </c>
      <c r="F13" s="17">
        <v>3263</v>
      </c>
      <c r="G13" s="17">
        <f t="shared" si="2"/>
        <v>45460</v>
      </c>
      <c r="H13" s="17">
        <f t="shared" si="1"/>
        <v>38965</v>
      </c>
    </row>
    <row r="15" spans="1:8">
      <c r="C15" s="33"/>
      <c r="D15" s="30"/>
      <c r="E15" s="30"/>
      <c r="F15" s="30"/>
      <c r="H15" s="31">
        <f>SUM(H4:H13)</f>
        <v>347726</v>
      </c>
    </row>
    <row r="16" spans="1:8">
      <c r="D16" s="32"/>
    </row>
    <row r="17" spans="1:8">
      <c r="B17" s="33"/>
    </row>
    <row r="19" spans="1:8">
      <c r="F19" s="30"/>
    </row>
    <row r="20" spans="1:8">
      <c r="F20" s="30"/>
    </row>
    <row r="21" spans="1:8">
      <c r="F21" s="30"/>
    </row>
    <row r="22" spans="1:8">
      <c r="F22" s="30"/>
    </row>
    <row r="23" spans="1:8">
      <c r="F23" s="30"/>
    </row>
    <row r="24" spans="1:8">
      <c r="F24" s="30"/>
    </row>
    <row r="25" spans="1:8">
      <c r="F25" s="30"/>
    </row>
    <row r="26" spans="1:8">
      <c r="F26" s="30"/>
    </row>
    <row r="27" spans="1:8">
      <c r="F27" s="30"/>
    </row>
    <row r="28" spans="1:8">
      <c r="F28" s="30"/>
    </row>
    <row r="30" spans="1:8">
      <c r="D30" s="30"/>
      <c r="E30" s="30"/>
      <c r="G30" s="33"/>
    </row>
    <row r="32" spans="1:8">
      <c r="A32" t="s">
        <v>4</v>
      </c>
      <c r="B32" s="16">
        <v>2011</v>
      </c>
      <c r="C32" s="14">
        <v>110343</v>
      </c>
      <c r="D32" s="14">
        <v>35568</v>
      </c>
      <c r="E32" s="14">
        <v>3658</v>
      </c>
      <c r="F32" s="14">
        <v>3404</v>
      </c>
      <c r="G32" s="14">
        <f t="shared" si="2"/>
        <v>42630</v>
      </c>
      <c r="H32" s="14">
        <f t="shared" si="1"/>
        <v>67713</v>
      </c>
    </row>
    <row r="33" spans="1:10">
      <c r="B33" s="16">
        <v>2012</v>
      </c>
      <c r="C33" s="14">
        <v>116000</v>
      </c>
      <c r="D33" s="14">
        <v>41549</v>
      </c>
      <c r="E33" s="14">
        <v>5053</v>
      </c>
      <c r="F33" s="14">
        <v>5344</v>
      </c>
      <c r="G33" s="14">
        <f t="shared" si="2"/>
        <v>51946</v>
      </c>
      <c r="H33" s="14">
        <f t="shared" si="1"/>
        <v>64054</v>
      </c>
    </row>
    <row r="34" spans="1:10">
      <c r="B34" s="16">
        <v>2013</v>
      </c>
      <c r="C34" s="14">
        <v>100000</v>
      </c>
      <c r="D34" s="14">
        <v>32010</v>
      </c>
      <c r="E34" s="14">
        <v>3993</v>
      </c>
      <c r="F34" s="14">
        <v>3671</v>
      </c>
      <c r="G34" s="14">
        <f t="shared" si="2"/>
        <v>39674</v>
      </c>
      <c r="H34" s="14">
        <f t="shared" si="1"/>
        <v>60326</v>
      </c>
    </row>
    <row r="35" spans="1:10">
      <c r="B35" s="16">
        <v>2014</v>
      </c>
      <c r="C35" s="14">
        <v>112000</v>
      </c>
      <c r="D35" s="14">
        <v>41991</v>
      </c>
      <c r="E35" s="14">
        <v>4091</v>
      </c>
      <c r="F35" s="14">
        <v>4366</v>
      </c>
      <c r="G35" s="14">
        <f t="shared" si="2"/>
        <v>50448</v>
      </c>
      <c r="H35" s="14">
        <f t="shared" si="1"/>
        <v>61552</v>
      </c>
    </row>
    <row r="36" spans="1:10">
      <c r="B36" s="16">
        <v>2015</v>
      </c>
      <c r="C36" s="14">
        <v>115000</v>
      </c>
      <c r="D36" s="14">
        <v>30951</v>
      </c>
      <c r="E36" s="14">
        <v>9067</v>
      </c>
      <c r="F36" s="14">
        <v>4873</v>
      </c>
      <c r="G36" s="14">
        <f t="shared" si="2"/>
        <v>44891</v>
      </c>
      <c r="H36" s="14">
        <f t="shared" si="1"/>
        <v>70109</v>
      </c>
    </row>
    <row r="37" spans="1:10">
      <c r="B37" s="16">
        <v>2016</v>
      </c>
      <c r="C37" s="14">
        <v>115038</v>
      </c>
      <c r="D37" s="14">
        <v>35809</v>
      </c>
      <c r="E37" s="14">
        <v>9520</v>
      </c>
      <c r="F37" s="14">
        <v>5804</v>
      </c>
      <c r="G37" s="14">
        <f t="shared" si="2"/>
        <v>51133</v>
      </c>
      <c r="H37" s="14">
        <f t="shared" si="1"/>
        <v>63905</v>
      </c>
    </row>
    <row r="38" spans="1:10">
      <c r="B38" s="16">
        <v>2017</v>
      </c>
      <c r="C38" s="14">
        <v>119594</v>
      </c>
      <c r="D38" s="14">
        <v>39947</v>
      </c>
      <c r="E38" s="14">
        <v>5959</v>
      </c>
      <c r="F38" s="14">
        <v>4340</v>
      </c>
      <c r="G38" s="14">
        <f t="shared" si="2"/>
        <v>50246</v>
      </c>
      <c r="H38" s="14">
        <f t="shared" si="1"/>
        <v>69348</v>
      </c>
    </row>
    <row r="39" spans="1:10">
      <c r="B39" s="16">
        <v>2018</v>
      </c>
      <c r="C39" s="14">
        <v>120000</v>
      </c>
      <c r="D39" s="14">
        <v>41138</v>
      </c>
      <c r="E39" s="14">
        <v>8466</v>
      </c>
      <c r="F39" s="14">
        <v>2093</v>
      </c>
      <c r="G39" s="14">
        <f t="shared" si="2"/>
        <v>51697</v>
      </c>
      <c r="H39" s="14">
        <f t="shared" si="1"/>
        <v>68303</v>
      </c>
    </row>
    <row r="40" spans="1:10">
      <c r="B40" s="16">
        <v>2019</v>
      </c>
      <c r="C40" s="14">
        <v>99469</v>
      </c>
      <c r="D40" s="14">
        <v>34031</v>
      </c>
      <c r="E40" s="14">
        <v>2538</v>
      </c>
      <c r="F40" s="14">
        <v>2985</v>
      </c>
      <c r="G40" s="14">
        <f t="shared" si="2"/>
        <v>39554</v>
      </c>
      <c r="H40" s="14">
        <f>C40-SUM(D40:F40)</f>
        <v>59915</v>
      </c>
    </row>
    <row r="41" spans="1:10">
      <c r="B41" s="16">
        <v>2020</v>
      </c>
      <c r="C41" s="14">
        <v>122000</v>
      </c>
      <c r="D41" s="14">
        <v>41389</v>
      </c>
      <c r="E41" s="14">
        <v>8692</v>
      </c>
      <c r="F41" s="14">
        <v>4692</v>
      </c>
      <c r="G41" s="14">
        <f t="shared" si="2"/>
        <v>54773</v>
      </c>
      <c r="H41" s="14">
        <f t="shared" si="1"/>
        <v>67227</v>
      </c>
    </row>
    <row r="43" spans="1:10">
      <c r="H43" s="31">
        <f>SUM(H32:H41)</f>
        <v>652452</v>
      </c>
    </row>
    <row r="47" spans="1:10">
      <c r="A47" t="s">
        <v>20</v>
      </c>
    </row>
    <row r="48" spans="1:10">
      <c r="A48" s="10" t="s">
        <v>30</v>
      </c>
      <c r="B48" s="10" t="s">
        <v>18</v>
      </c>
      <c r="C48" s="10" t="s">
        <v>17</v>
      </c>
      <c r="D48" s="11" t="s">
        <v>11</v>
      </c>
      <c r="E48" s="11" t="s">
        <v>12</v>
      </c>
      <c r="F48" s="20" t="s">
        <v>13</v>
      </c>
      <c r="G48" s="20"/>
      <c r="H48" s="12" t="s">
        <v>14</v>
      </c>
      <c r="I48" s="12" t="s">
        <v>15</v>
      </c>
      <c r="J48" s="12" t="s">
        <v>16</v>
      </c>
    </row>
    <row r="49" spans="1:10">
      <c r="A49" s="13">
        <v>2011</v>
      </c>
      <c r="B49" s="5">
        <f t="shared" ref="B49:B58" si="3">ABS($D4-$D32)</f>
        <v>2127</v>
      </c>
      <c r="C49" s="18" cm="1">
        <f t="array" ref="C49:C58">H4:H13</f>
        <v>24395</v>
      </c>
      <c r="D49" s="2" cm="1">
        <f t="array" ref="D49">TREND($C$49:$C$58,$B$49:$B$58,$B49)</f>
        <v>34424.803721620665</v>
      </c>
      <c r="E49" s="2" cm="1">
        <f t="array" ref="E49">GROWTH($C$49:$C$58, $B$49:$B$58,B49)</f>
        <v>33587.306255481031</v>
      </c>
      <c r="F49" s="21">
        <f t="shared" ref="F49:F58" si="4">$D$61*(B49)^2+$E$61*(B49)+$F$61</f>
        <v>31799.359397190849</v>
      </c>
      <c r="G49" s="21"/>
      <c r="H49" s="2">
        <f>ABS($C49-D49)</f>
        <v>10029.803721620665</v>
      </c>
      <c r="I49" s="2">
        <f>ABS($C49-E49)</f>
        <v>9192.3062554810313</v>
      </c>
      <c r="J49" s="2">
        <f>ABS(C49-F49)</f>
        <v>7404.3593971908485</v>
      </c>
    </row>
    <row r="50" spans="1:10">
      <c r="A50" s="13">
        <f>A49+1</f>
        <v>2012</v>
      </c>
      <c r="B50" s="5">
        <f t="shared" si="3"/>
        <v>9689</v>
      </c>
      <c r="C50" s="18">
        <v>39946</v>
      </c>
      <c r="D50" s="2" cm="1">
        <f t="array" ref="D50">TREND($C$49:$C$58,$B$49:$B$58,$B50)</f>
        <v>34953.029360725814</v>
      </c>
      <c r="E50" s="2" cm="1">
        <f t="array" ref="E50">GROWTH($C$49:$C$58, $B$49:$B$58,B50)</f>
        <v>34607.513456395682</v>
      </c>
      <c r="F50" s="21">
        <f t="shared" si="4"/>
        <v>36481.276167816875</v>
      </c>
      <c r="G50" s="21"/>
      <c r="H50" s="2">
        <f t="shared" ref="H50:I58" si="5">ABS($C50-D50)</f>
        <v>4992.9706392741864</v>
      </c>
      <c r="I50" s="2">
        <f t="shared" si="5"/>
        <v>5338.4865436043183</v>
      </c>
      <c r="J50" s="2">
        <f t="shared" ref="J50:J58" si="6">ABS(C50-F50)</f>
        <v>3464.7238321831246</v>
      </c>
    </row>
    <row r="51" spans="1:10">
      <c r="A51" s="13">
        <f t="shared" ref="A51:A58" si="7">A50+1</f>
        <v>2013</v>
      </c>
      <c r="B51" s="5">
        <f t="shared" si="3"/>
        <v>6315</v>
      </c>
      <c r="C51" s="18">
        <v>43000</v>
      </c>
      <c r="D51" s="2" cm="1">
        <f t="array" ref="D51">TREND($C$49:$C$58,$B$49:$B$58,$B51)</f>
        <v>34717.346564330575</v>
      </c>
      <c r="E51" s="2" cm="1">
        <f t="array" ref="E51">GROWTH($C$49:$C$58, $B$49:$B$58,B51)</f>
        <v>34148.545536029771</v>
      </c>
      <c r="F51" s="21">
        <f t="shared" si="4"/>
        <v>36929.119659475953</v>
      </c>
      <c r="G51" s="21"/>
      <c r="H51" s="2">
        <f t="shared" si="5"/>
        <v>8282.6534356694247</v>
      </c>
      <c r="I51" s="2">
        <f>ABS($C51-E51)</f>
        <v>8851.454463970229</v>
      </c>
      <c r="J51" s="2">
        <f t="shared" si="6"/>
        <v>6070.8803405240469</v>
      </c>
    </row>
    <row r="52" spans="1:10">
      <c r="A52" s="13">
        <f t="shared" si="7"/>
        <v>2014</v>
      </c>
      <c r="B52" s="5">
        <f t="shared" si="3"/>
        <v>10924</v>
      </c>
      <c r="C52" s="18">
        <v>33330</v>
      </c>
      <c r="D52" s="2" cm="1">
        <f t="array" ref="D52">TREND($C$49:$C$58,$B$49:$B$58,$B52)</f>
        <v>35039.297367112333</v>
      </c>
      <c r="E52" s="2" cm="1">
        <f t="array" ref="E52">GROWTH($C$49:$C$58, $B$49:$B$58,B52)</f>
        <v>34777.0493571392</v>
      </c>
      <c r="F52" s="21">
        <f t="shared" si="4"/>
        <v>35295.44543024723</v>
      </c>
      <c r="G52" s="21"/>
      <c r="H52" s="2">
        <f t="shared" si="5"/>
        <v>1709.2973671123327</v>
      </c>
      <c r="I52" s="2">
        <f t="shared" si="5"/>
        <v>1447.0493571391999</v>
      </c>
      <c r="J52" s="2">
        <f t="shared" si="6"/>
        <v>1965.4454302472295</v>
      </c>
    </row>
    <row r="53" spans="1:10">
      <c r="A53" s="13">
        <f t="shared" si="7"/>
        <v>2015</v>
      </c>
      <c r="B53" s="5">
        <f t="shared" si="3"/>
        <v>1919</v>
      </c>
      <c r="C53" s="18">
        <v>36611</v>
      </c>
      <c r="D53" s="2" cm="1">
        <f t="array" ref="D53">TREND($C$49:$C$58,$B$49:$B$58,$B53)</f>
        <v>34410.274373176617</v>
      </c>
      <c r="E53" s="2" cm="1">
        <f t="array" ref="E53">GROWTH($C$49:$C$58, $B$49:$B$58,B53)</f>
        <v>33559.673606339093</v>
      </c>
      <c r="F53" s="21">
        <f t="shared" si="4"/>
        <v>31380.429842457892</v>
      </c>
      <c r="G53" s="21"/>
      <c r="H53" s="2">
        <f t="shared" si="5"/>
        <v>2200.7256268233832</v>
      </c>
      <c r="I53" s="2">
        <f t="shared" si="5"/>
        <v>3051.3263936609073</v>
      </c>
      <c r="J53" s="2">
        <f t="shared" si="6"/>
        <v>5230.5701575421081</v>
      </c>
    </row>
    <row r="54" spans="1:10">
      <c r="A54" s="13">
        <f t="shared" si="7"/>
        <v>2016</v>
      </c>
      <c r="B54" s="5">
        <f t="shared" si="3"/>
        <v>10164</v>
      </c>
      <c r="C54" s="18">
        <v>27769</v>
      </c>
      <c r="D54" s="2" cm="1">
        <f t="array" ref="D54">TREND($C$49:$C$58,$B$49:$B$58,$B54)</f>
        <v>34986.20936318217</v>
      </c>
      <c r="E54" s="2" cm="1">
        <f t="array" ref="E54">GROWTH($C$49:$C$58, $B$49:$B$58,B54)</f>
        <v>34672.621543463989</v>
      </c>
      <c r="F54" s="21">
        <f t="shared" si="4"/>
        <v>36089.997702911409</v>
      </c>
      <c r="G54" s="21"/>
      <c r="H54" s="2">
        <f t="shared" si="5"/>
        <v>7217.2093631821699</v>
      </c>
      <c r="I54" s="2">
        <f t="shared" si="5"/>
        <v>6903.6215434639889</v>
      </c>
      <c r="J54" s="2">
        <f t="shared" si="6"/>
        <v>8320.9977029114089</v>
      </c>
    </row>
    <row r="55" spans="1:10">
      <c r="A55" s="13">
        <f t="shared" si="7"/>
        <v>2017</v>
      </c>
      <c r="B55" s="5">
        <f t="shared" si="3"/>
        <v>4757</v>
      </c>
      <c r="C55" s="18">
        <v>40642</v>
      </c>
      <c r="D55" s="2" cm="1">
        <f t="array" ref="D55">TREND($C$49:$C$58,$B$49:$B$58,$B55)</f>
        <v>34608.516156273741</v>
      </c>
      <c r="E55" s="2" cm="1">
        <f t="array" ref="E55">GROWTH($C$49:$C$58, $B$49:$B$58,B55)</f>
        <v>33938.668765771799</v>
      </c>
      <c r="F55" s="21">
        <f t="shared" si="4"/>
        <v>35756.401242387597</v>
      </c>
      <c r="G55" s="21"/>
      <c r="H55" s="2">
        <f t="shared" si="5"/>
        <v>6033.4838437262588</v>
      </c>
      <c r="I55" s="2">
        <f t="shared" si="5"/>
        <v>6703.3312342282006</v>
      </c>
      <c r="J55" s="2">
        <f t="shared" si="6"/>
        <v>4885.5987576124026</v>
      </c>
    </row>
    <row r="56" spans="1:10">
      <c r="A56" s="13">
        <f t="shared" si="7"/>
        <v>2018</v>
      </c>
      <c r="B56" s="5">
        <f t="shared" si="3"/>
        <v>13586</v>
      </c>
      <c r="C56" s="18">
        <v>33746</v>
      </c>
      <c r="D56" s="2" cm="1">
        <f t="array" ref="D56">TREND($C$49:$C$58,$B$49:$B$58,$B56)</f>
        <v>35225.245086141411</v>
      </c>
      <c r="E56" s="2" cm="1">
        <f t="array" ref="E56">GROWTH($C$49:$C$58, $B$49:$B$58,B56)</f>
        <v>35145.307895555612</v>
      </c>
      <c r="F56" s="21">
        <f t="shared" si="4"/>
        <v>30877.018683739967</v>
      </c>
      <c r="G56" s="21"/>
      <c r="H56" s="2">
        <f t="shared" si="5"/>
        <v>1479.2450861414109</v>
      </c>
      <c r="I56" s="2">
        <f t="shared" si="5"/>
        <v>1399.307895555612</v>
      </c>
      <c r="J56" s="2">
        <f t="shared" si="6"/>
        <v>2868.9813162600331</v>
      </c>
    </row>
    <row r="57" spans="1:10">
      <c r="A57" s="13">
        <f t="shared" si="7"/>
        <v>2019</v>
      </c>
      <c r="B57" s="5">
        <f t="shared" si="3"/>
        <v>5154</v>
      </c>
      <c r="C57" s="18">
        <v>29322</v>
      </c>
      <c r="D57" s="2" cm="1">
        <f t="array" ref="D57">TREND($C$49:$C$58,$B$49:$B$58,$B57)</f>
        <v>34636.247653063576</v>
      </c>
      <c r="E57" s="2" cm="1">
        <f t="array" ref="E57">GROWTH($C$49:$C$58, $B$49:$B$58,B57)</f>
        <v>33992.025494964626</v>
      </c>
      <c r="F57" s="21">
        <f t="shared" si="4"/>
        <v>36137.974519117059</v>
      </c>
      <c r="G57" s="21"/>
      <c r="H57" s="2">
        <f t="shared" si="5"/>
        <v>5314.2476530635759</v>
      </c>
      <c r="I57" s="2">
        <f t="shared" si="5"/>
        <v>4670.025494964626</v>
      </c>
      <c r="J57" s="2">
        <f t="shared" si="6"/>
        <v>6815.9745191170587</v>
      </c>
    </row>
    <row r="58" spans="1:10">
      <c r="A58" s="13">
        <f t="shared" si="7"/>
        <v>2020</v>
      </c>
      <c r="B58" s="5">
        <f t="shared" si="3"/>
        <v>6425</v>
      </c>
      <c r="C58" s="18">
        <v>38965</v>
      </c>
      <c r="D58" s="2" cm="1">
        <f t="array" ref="D58">TREND($C$49:$C$58,$B$49:$B$58,$B58)</f>
        <v>34725.030354373106</v>
      </c>
      <c r="E58" s="2" cm="1">
        <f t="array" ref="E58">GROWTH($C$49:$C$58, $B$49:$B$58,B58)</f>
        <v>34163.412494921395</v>
      </c>
      <c r="F58" s="21">
        <f t="shared" si="4"/>
        <v>36978.977354655173</v>
      </c>
      <c r="G58" s="21"/>
      <c r="H58" s="2">
        <f t="shared" si="5"/>
        <v>4239.9696456268939</v>
      </c>
      <c r="I58" s="2">
        <f t="shared" si="5"/>
        <v>4801.5875050786053</v>
      </c>
      <c r="J58" s="2">
        <f t="shared" si="6"/>
        <v>1986.0226453448267</v>
      </c>
    </row>
    <row r="59" spans="1:10">
      <c r="D59" s="4"/>
      <c r="E59" s="4"/>
      <c r="F59" s="25"/>
      <c r="G59" s="25"/>
      <c r="H59" s="4"/>
      <c r="I59" s="4"/>
      <c r="J59" s="4"/>
    </row>
    <row r="60" spans="1:10">
      <c r="C60" s="30"/>
      <c r="D60" t="s">
        <v>19</v>
      </c>
      <c r="I60" s="4"/>
      <c r="J60" s="4"/>
    </row>
    <row r="61" spans="1:10">
      <c r="D61" cm="1">
        <f t="array" ref="D61:F61">LINEST(_xlfn.ANCHORARRAY(C49),B49:B58^{1,2},TRUE,FALSE)</f>
        <v>-1.7952986236462813E-4</v>
      </c>
      <c r="E61">
        <v>2.7404622208818825</v>
      </c>
      <c r="F61">
        <v>26782.612510064908</v>
      </c>
      <c r="H61" s="30"/>
      <c r="I61" s="4"/>
      <c r="J61" s="4"/>
    </row>
    <row r="62" spans="1:10">
      <c r="I62" s="4"/>
      <c r="J62" s="4"/>
    </row>
    <row r="63" spans="1:10">
      <c r="D63" s="12"/>
      <c r="E63" s="12" t="s">
        <v>21</v>
      </c>
      <c r="F63" s="12" t="s">
        <v>22</v>
      </c>
      <c r="G63" s="12"/>
      <c r="H63" s="12" t="s">
        <v>23</v>
      </c>
      <c r="I63" s="4"/>
      <c r="J63" s="4"/>
    </row>
    <row r="64" spans="1:10">
      <c r="D64" s="12" t="s">
        <v>24</v>
      </c>
      <c r="E64" s="2">
        <f>AVERAGE(D49:D58)</f>
        <v>34772.6</v>
      </c>
      <c r="F64" s="2">
        <f>AVERAGE(E49:E58)</f>
        <v>34259.212440606221</v>
      </c>
      <c r="G64" s="2"/>
      <c r="H64" s="2">
        <f>AVERAGE(F49:F58)</f>
        <v>34772.6</v>
      </c>
      <c r="I64" s="4"/>
      <c r="J64" s="4"/>
    </row>
    <row r="65" spans="1:15">
      <c r="D65" s="12" t="s">
        <v>25</v>
      </c>
      <c r="E65" s="15">
        <f>MIN(E64:H64)</f>
        <v>34259.212440606221</v>
      </c>
      <c r="F65" s="15"/>
      <c r="G65" s="15"/>
      <c r="H65" s="15"/>
      <c r="I65" s="4"/>
      <c r="J65" s="4"/>
    </row>
    <row r="66" spans="1:15">
      <c r="D66" s="12" t="s">
        <v>26</v>
      </c>
      <c r="E66" s="22" t="str">
        <f ca="1">OFFSET(D63,0,MATCH(E65,E64:H64,0))</f>
        <v>Exponential</v>
      </c>
      <c r="F66" s="23"/>
      <c r="G66" s="23"/>
      <c r="H66" s="24"/>
      <c r="I66" s="4"/>
      <c r="J66" s="4"/>
    </row>
    <row r="68" spans="1:15">
      <c r="A68" t="s">
        <v>33</v>
      </c>
      <c r="M68" s="33" t="s">
        <v>40</v>
      </c>
      <c r="N68" t="s">
        <v>36</v>
      </c>
      <c r="O68" t="s">
        <v>39</v>
      </c>
    </row>
    <row r="69" spans="1:15">
      <c r="A69" s="10" t="s">
        <v>30</v>
      </c>
      <c r="B69" s="10" t="s">
        <v>18</v>
      </c>
      <c r="C69" s="10" t="s">
        <v>38</v>
      </c>
      <c r="D69" s="11" t="s">
        <v>11</v>
      </c>
      <c r="E69" s="11" t="s">
        <v>12</v>
      </c>
      <c r="F69" s="20" t="s">
        <v>13</v>
      </c>
      <c r="G69" s="20"/>
      <c r="H69" s="12" t="s">
        <v>14</v>
      </c>
      <c r="I69" s="12" t="s">
        <v>15</v>
      </c>
      <c r="J69" s="12" t="s">
        <v>16</v>
      </c>
      <c r="M69" s="17">
        <f>ABS(D4-O69)</f>
        <v>3.5627729819680098E-2</v>
      </c>
      <c r="N69" s="17">
        <f>$D$82*M69^2+$E$82*M69+$F$82</f>
        <v>74091.638349982502</v>
      </c>
      <c r="O69" s="14">
        <v>33441.03562772982</v>
      </c>
    </row>
    <row r="70" spans="1:15">
      <c r="A70" s="13">
        <v>2011</v>
      </c>
      <c r="B70" s="28">
        <f>$B49</f>
        <v>2127</v>
      </c>
      <c r="C70" s="18" cm="1">
        <f t="array" ref="C70:C79">H32:H41</f>
        <v>67713</v>
      </c>
      <c r="D70" s="2" cm="1">
        <f t="array" ref="D70">TREND($C$70:$C$79,$B$70:$B$79,$B70)</f>
        <v>66563.598475969484</v>
      </c>
      <c r="E70" s="2" cm="1">
        <f t="array" ref="E70">GROWTH($C$70:$C$79, $B$70:$B$79,B70)</f>
        <v>66433.529556044552</v>
      </c>
      <c r="F70" s="19">
        <f>$D$82*(B70)^2+$E$82*(B70)+$F$82</f>
        <v>69003.812588193978</v>
      </c>
      <c r="G70" s="19"/>
      <c r="H70" s="2">
        <f>ABS($C70-D70)</f>
        <v>1149.4015240305162</v>
      </c>
      <c r="I70" s="2">
        <f>ABS($C70-E70)</f>
        <v>1279.470443955448</v>
      </c>
      <c r="J70" s="2">
        <f>ABS(C70-F70)</f>
        <v>1290.8125881939777</v>
      </c>
      <c r="M70" s="17">
        <f t="shared" ref="M70:M78" si="8">ABS(D5-O70)</f>
        <v>41.58466222946663</v>
      </c>
      <c r="N70" s="17">
        <f t="shared" ref="N70:N78" si="9">$D$82*M70^2+$E$82*M70+$F$82</f>
        <v>73977.792342594548</v>
      </c>
      <c r="O70" s="14">
        <v>31901.584662229467</v>
      </c>
    </row>
    <row r="71" spans="1:15">
      <c r="A71" s="13">
        <f>A70+1</f>
        <v>2012</v>
      </c>
      <c r="B71" s="28">
        <f t="shared" ref="B71:B79" si="10">$B50</f>
        <v>9689</v>
      </c>
      <c r="C71" s="18">
        <v>64054</v>
      </c>
      <c r="D71" s="2" cm="1">
        <f t="array" ref="D71">TREND($C$70:$C$79,$B$70:$B$79,$B71)</f>
        <v>64561.242726766577</v>
      </c>
      <c r="E71" s="2" cm="1">
        <f t="array" ref="E71">GROWTH($C$70:$C$79, $B$70:$B$79,B71)</f>
        <v>64486.76991638149</v>
      </c>
      <c r="F71" s="19">
        <f t="shared" ref="F71:F79" si="11">$D$82*(B71)^2+$E$82*(B71)+$F$82</f>
        <v>63140.816709377861</v>
      </c>
      <c r="G71" s="19"/>
      <c r="H71" s="2">
        <f t="shared" ref="H71:I79" si="12">ABS($C71-D71)</f>
        <v>507.24272676657711</v>
      </c>
      <c r="I71" s="2">
        <f t="shared" si="12"/>
        <v>432.76991638149048</v>
      </c>
      <c r="J71" s="2">
        <f t="shared" ref="J71:J79" si="13">ABS(C71-F71)</f>
        <v>913.18329062213888</v>
      </c>
      <c r="M71" s="17">
        <f t="shared" si="8"/>
        <v>12939.489637164334</v>
      </c>
      <c r="N71" s="17">
        <f t="shared" si="9"/>
        <v>66485.207713638403</v>
      </c>
      <c r="O71" s="14">
        <v>25385.510362835666</v>
      </c>
    </row>
    <row r="72" spans="1:15">
      <c r="A72" s="13">
        <f t="shared" ref="A72:A79" si="14">A71+1</f>
        <v>2013</v>
      </c>
      <c r="B72" s="28">
        <f t="shared" si="10"/>
        <v>6315</v>
      </c>
      <c r="C72" s="18">
        <v>60326</v>
      </c>
      <c r="D72" s="2" cm="1">
        <f t="array" ref="D72">TREND($C$70:$C$79,$B$70:$B$79,$B72)</f>
        <v>65454.650330285571</v>
      </c>
      <c r="E72" s="2" cm="1">
        <f t="array" ref="E72">GROWTH($C$70:$C$79, $B$70:$B$79,B72)</f>
        <v>65348.222035084116</v>
      </c>
      <c r="F72" s="19">
        <f t="shared" si="11"/>
        <v>63398.922136169567</v>
      </c>
      <c r="G72" s="19"/>
      <c r="H72" s="2">
        <f t="shared" si="12"/>
        <v>5128.6503302855708</v>
      </c>
      <c r="I72" s="2">
        <f>ABS($C72-E72)</f>
        <v>5022.2220350841162</v>
      </c>
      <c r="J72" s="2">
        <f t="shared" si="13"/>
        <v>3072.9221361695672</v>
      </c>
      <c r="M72" s="17">
        <f t="shared" si="8"/>
        <v>145.40498594522069</v>
      </c>
      <c r="N72" s="17">
        <f t="shared" si="9"/>
        <v>73695.838881245028</v>
      </c>
      <c r="O72" s="14">
        <v>31212.404985945221</v>
      </c>
    </row>
    <row r="73" spans="1:15">
      <c r="A73" s="13">
        <f t="shared" si="14"/>
        <v>2014</v>
      </c>
      <c r="B73" s="28">
        <f t="shared" si="10"/>
        <v>10924</v>
      </c>
      <c r="C73" s="18">
        <v>61552</v>
      </c>
      <c r="D73" s="2" cm="1">
        <f t="array" ref="D73">TREND($C$70:$C$79,$B$70:$B$79,$B73)</f>
        <v>64234.224828027407</v>
      </c>
      <c r="E73" s="2" cm="1">
        <f t="array" ref="E73">GROWTH($C$70:$C$79, $B$70:$B$79,B73)</f>
        <v>64174.29588438748</v>
      </c>
      <c r="F73" s="19">
        <f t="shared" si="11"/>
        <v>63996.148509796396</v>
      </c>
      <c r="G73" s="19"/>
      <c r="H73" s="2">
        <f t="shared" si="12"/>
        <v>2682.2248280274071</v>
      </c>
      <c r="I73" s="2">
        <f t="shared" si="12"/>
        <v>2622.2958843874803</v>
      </c>
      <c r="J73" s="2">
        <f t="shared" si="13"/>
        <v>2444.148509796396</v>
      </c>
      <c r="M73" s="17">
        <f t="shared" si="8"/>
        <v>2138.4759317054632</v>
      </c>
      <c r="N73" s="17">
        <f t="shared" si="9"/>
        <v>68980.456408413724</v>
      </c>
      <c r="O73" s="14">
        <v>30731.524068294537</v>
      </c>
    </row>
    <row r="74" spans="1:15">
      <c r="A74" s="13">
        <f t="shared" si="14"/>
        <v>2015</v>
      </c>
      <c r="B74" s="28">
        <f t="shared" si="10"/>
        <v>1919</v>
      </c>
      <c r="C74" s="18">
        <v>70109</v>
      </c>
      <c r="D74" s="2" cm="1">
        <f t="array" ref="D74">TREND($C$70:$C$79,$B$70:$B$79,$B74)</f>
        <v>66618.675174704505</v>
      </c>
      <c r="E74" s="2" cm="1">
        <f t="array" ref="E74">GROWTH($C$70:$C$79, $B$70:$B$79,B74)</f>
        <v>66487.899513795201</v>
      </c>
      <c r="F74" s="19">
        <f t="shared" si="11"/>
        <v>69434.758270776903</v>
      </c>
      <c r="G74" s="19"/>
      <c r="H74" s="2">
        <f t="shared" si="12"/>
        <v>3490.3248252954945</v>
      </c>
      <c r="I74" s="2">
        <f t="shared" si="12"/>
        <v>3621.1004862047994</v>
      </c>
      <c r="J74" s="2">
        <f t="shared" si="13"/>
        <v>674.24172922309663</v>
      </c>
      <c r="M74" s="17">
        <f t="shared" si="8"/>
        <v>13652.130317530238</v>
      </c>
      <c r="N74" s="17">
        <f t="shared" si="9"/>
        <v>67689.706498263564</v>
      </c>
      <c r="O74" s="14">
        <v>39297.130317530238</v>
      </c>
    </row>
    <row r="75" spans="1:15">
      <c r="A75" s="13">
        <f t="shared" si="14"/>
        <v>2016</v>
      </c>
      <c r="B75" s="28">
        <f t="shared" si="10"/>
        <v>10164</v>
      </c>
      <c r="C75" s="18">
        <v>63905</v>
      </c>
      <c r="D75" s="2" cm="1">
        <f t="array" ref="D75">TREND($C$70:$C$79,$B$70:$B$79,$B75)</f>
        <v>64435.46661186689</v>
      </c>
      <c r="E75" s="2" cm="1">
        <f t="array" ref="E75">GROWTH($C$70:$C$79, $B$70:$B$79,B75)</f>
        <v>64366.407942841826</v>
      </c>
      <c r="F75" s="19">
        <f t="shared" si="11"/>
        <v>63409.552690001074</v>
      </c>
      <c r="G75" s="19"/>
      <c r="H75" s="2">
        <f t="shared" si="12"/>
        <v>530.46661186689016</v>
      </c>
      <c r="I75" s="2">
        <f t="shared" si="12"/>
        <v>461.4079428418263</v>
      </c>
      <c r="J75" s="2">
        <f t="shared" si="13"/>
        <v>495.44730999892636</v>
      </c>
      <c r="M75" s="17">
        <f t="shared" si="8"/>
        <v>6913.8921869368278</v>
      </c>
      <c r="N75" s="17">
        <f t="shared" si="9"/>
        <v>63075.782039672253</v>
      </c>
      <c r="O75" s="14">
        <v>28276.107813063172</v>
      </c>
    </row>
    <row r="76" spans="1:15">
      <c r="A76" s="13">
        <f t="shared" si="14"/>
        <v>2017</v>
      </c>
      <c r="B76" s="28">
        <f t="shared" si="10"/>
        <v>4757</v>
      </c>
      <c r="C76" s="18">
        <v>69348</v>
      </c>
      <c r="D76" s="2" cm="1">
        <f t="array" ref="D76">TREND($C$70:$C$79,$B$70:$B$79,$B76)</f>
        <v>65867.19598715652</v>
      </c>
      <c r="E76" s="2" cm="1">
        <f t="array" ref="E76">GROWTH($C$70:$C$79, $B$70:$B$79,B76)</f>
        <v>65749.886306630753</v>
      </c>
      <c r="F76" s="19">
        <f t="shared" si="11"/>
        <v>64800.296430276598</v>
      </c>
      <c r="G76" s="19"/>
      <c r="H76" s="2">
        <f t="shared" si="12"/>
        <v>3480.8040128434805</v>
      </c>
      <c r="I76" s="2">
        <f t="shared" si="12"/>
        <v>3598.1136933692469</v>
      </c>
      <c r="J76" s="2">
        <f t="shared" si="13"/>
        <v>4547.7035697234023</v>
      </c>
      <c r="M76" s="17">
        <f t="shared" si="8"/>
        <v>8563.3142903396292</v>
      </c>
      <c r="N76" s="17">
        <f t="shared" si="9"/>
        <v>62804.615306701628</v>
      </c>
      <c r="O76" s="14">
        <v>36115.314290339629</v>
      </c>
    </row>
    <row r="77" spans="1:15">
      <c r="A77" s="13">
        <f t="shared" si="14"/>
        <v>2018</v>
      </c>
      <c r="B77" s="28">
        <f t="shared" si="10"/>
        <v>13586</v>
      </c>
      <c r="C77" s="18">
        <v>68303</v>
      </c>
      <c r="D77" s="2" cm="1">
        <f t="array" ref="D77">TREND($C$70:$C$79,$B$70:$B$79,$B77)</f>
        <v>63529.349000947506</v>
      </c>
      <c r="E77" s="2" cm="1">
        <f t="array" ref="E77">GROWTH($C$70:$C$79, $B$70:$B$79,B77)</f>
        <v>63505.908359103007</v>
      </c>
      <c r="F77" s="19">
        <f t="shared" si="11"/>
        <v>67570.799559070292</v>
      </c>
      <c r="G77" s="19"/>
      <c r="H77" s="2">
        <f t="shared" si="12"/>
        <v>4773.6509990524937</v>
      </c>
      <c r="I77" s="2">
        <f t="shared" si="12"/>
        <v>4797.0916408969933</v>
      </c>
      <c r="J77" s="2">
        <f t="shared" si="13"/>
        <v>732.20044092970784</v>
      </c>
      <c r="M77" s="17">
        <f t="shared" si="8"/>
        <v>5260.0505122679024</v>
      </c>
      <c r="N77" s="17">
        <f t="shared" si="9"/>
        <v>64259.264207626897</v>
      </c>
      <c r="O77" s="14">
        <v>34137.050512267902</v>
      </c>
    </row>
    <row r="78" spans="1:15">
      <c r="A78" s="13">
        <f t="shared" si="14"/>
        <v>2019</v>
      </c>
      <c r="B78" s="28">
        <f t="shared" si="10"/>
        <v>5154</v>
      </c>
      <c r="C78" s="18">
        <v>59915</v>
      </c>
      <c r="D78" s="2" cm="1">
        <f t="array" ref="D78">TREND($C$70:$C$79,$B$70:$B$79,$B78)</f>
        <v>65762.073634282468</v>
      </c>
      <c r="E78" s="2" cm="1">
        <f t="array" ref="E78">GROWTH($C$70:$C$79, $B$70:$B$79,B78)</f>
        <v>65647.302885989935</v>
      </c>
      <c r="F78" s="19">
        <f t="shared" si="11"/>
        <v>64366.296524422702</v>
      </c>
      <c r="G78" s="19"/>
      <c r="H78" s="2">
        <f t="shared" si="12"/>
        <v>5847.0736342824675</v>
      </c>
      <c r="I78" s="2">
        <f t="shared" si="12"/>
        <v>5732.302885989935</v>
      </c>
      <c r="J78" s="2">
        <f t="shared" si="13"/>
        <v>4451.2965244227016</v>
      </c>
      <c r="M78" s="17">
        <f t="shared" si="8"/>
        <v>6461.6626402356706</v>
      </c>
      <c r="N78" s="17">
        <f t="shared" si="9"/>
        <v>63308.721130767823</v>
      </c>
      <c r="O78" s="14">
        <v>28502.337359764329</v>
      </c>
    </row>
    <row r="79" spans="1:15">
      <c r="A79" s="13">
        <f t="shared" si="14"/>
        <v>2020</v>
      </c>
      <c r="B79" s="28">
        <f t="shared" si="10"/>
        <v>6425</v>
      </c>
      <c r="C79" s="18">
        <v>67227</v>
      </c>
      <c r="D79" s="2" cm="1">
        <f t="array" ref="D79">TREND($C$70:$C$79,$B$70:$B$79,$B79)</f>
        <v>65425.523229993007</v>
      </c>
      <c r="E79" s="2" cm="1">
        <f t="array" ref="E79">GROWTH($C$70:$C$79, $B$70:$B$79,B79)</f>
        <v>65319.956110409563</v>
      </c>
      <c r="F79" s="19">
        <f t="shared" si="11"/>
        <v>63330.596581914542</v>
      </c>
      <c r="G79" s="19"/>
      <c r="H79" s="2">
        <f t="shared" si="12"/>
        <v>1801.4767700069933</v>
      </c>
      <c r="I79" s="2">
        <f t="shared" si="12"/>
        <v>1907.0438895904372</v>
      </c>
      <c r="J79" s="2">
        <f t="shared" si="13"/>
        <v>3896.4034180854578</v>
      </c>
    </row>
    <row r="80" spans="1:15">
      <c r="C80" s="31">
        <f>SUM(_xlfn.ANCHORARRAY(C70))</f>
        <v>652452</v>
      </c>
      <c r="N80" s="31">
        <f>SUM(N69:N78)</f>
        <v>678369.02287890646</v>
      </c>
      <c r="O80" s="30"/>
    </row>
    <row r="81" spans="1:15">
      <c r="D81" t="s">
        <v>19</v>
      </c>
    </row>
    <row r="82" spans="1:15">
      <c r="D82" cm="1">
        <f t="array" ref="D82:F82">LINEST(_xlfn.ANCHORARRAY(C70),B70:B79^{1,2},TRUE,FALSE)</f>
        <v>1.6686368079926061E-4</v>
      </c>
      <c r="E82">
        <v>-2.7469846957009634</v>
      </c>
      <c r="F82">
        <v>74091.736218599253</v>
      </c>
    </row>
    <row r="84" spans="1:15">
      <c r="D84" s="12"/>
      <c r="E84" s="12" t="s">
        <v>21</v>
      </c>
      <c r="F84" s="12" t="s">
        <v>22</v>
      </c>
      <c r="G84" s="12"/>
      <c r="H84" s="12" t="s">
        <v>23</v>
      </c>
    </row>
    <row r="85" spans="1:15">
      <c r="D85" s="12" t="s">
        <v>24</v>
      </c>
      <c r="E85" s="2">
        <f>AVERAGE(D70:D79)</f>
        <v>65245.2</v>
      </c>
      <c r="F85" s="2">
        <f>AVERAGE(E70:E79)</f>
        <v>65152.01785106679</v>
      </c>
      <c r="G85" s="2"/>
      <c r="H85" s="2">
        <f>AVERAGE(F70:F79)</f>
        <v>65245.2</v>
      </c>
    </row>
    <row r="86" spans="1:15">
      <c r="D86" s="12" t="s">
        <v>25</v>
      </c>
      <c r="E86" s="15">
        <f>MIN(E85:H85)</f>
        <v>65152.01785106679</v>
      </c>
      <c r="F86" s="15"/>
      <c r="G86" s="15"/>
      <c r="H86" s="15"/>
    </row>
    <row r="87" spans="1:15">
      <c r="D87" s="12" t="s">
        <v>26</v>
      </c>
      <c r="E87" s="22" t="str">
        <f ca="1">OFFSET(D84,0,MATCH(E86,E85:H85,0))</f>
        <v>Exponential</v>
      </c>
      <c r="F87" s="23"/>
      <c r="G87" s="23"/>
      <c r="H87" s="24"/>
    </row>
    <row r="93" spans="1:15">
      <c r="A93" t="s">
        <v>27</v>
      </c>
      <c r="M93" s="33" t="s">
        <v>41</v>
      </c>
      <c r="N93" t="s">
        <v>36</v>
      </c>
      <c r="O93" t="s">
        <v>42</v>
      </c>
    </row>
    <row r="94" spans="1:15">
      <c r="A94" s="10" t="s">
        <v>10</v>
      </c>
      <c r="B94" s="10" t="s">
        <v>34</v>
      </c>
      <c r="C94" s="10" t="s">
        <v>17</v>
      </c>
      <c r="D94" s="11" t="s">
        <v>11</v>
      </c>
      <c r="E94" s="11" t="s">
        <v>12</v>
      </c>
      <c r="F94" s="20" t="s">
        <v>13</v>
      </c>
      <c r="G94" s="20"/>
      <c r="H94" s="12" t="s">
        <v>14</v>
      </c>
      <c r="I94" s="12" t="s">
        <v>15</v>
      </c>
      <c r="J94" s="12" t="s">
        <v>16</v>
      </c>
      <c r="M94" s="17">
        <f>ABS(O94-E32)</f>
        <v>3658</v>
      </c>
      <c r="N94" s="17">
        <f>$D$107*M94^2+$E$107*M94+$F$107</f>
        <v>33668.491552067208</v>
      </c>
      <c r="O94" s="14">
        <v>0</v>
      </c>
    </row>
    <row r="95" spans="1:15">
      <c r="A95" s="13">
        <v>2011</v>
      </c>
      <c r="B95" s="28">
        <f t="shared" ref="B95:B104" si="15">ABS($E4-$E32)</f>
        <v>4074</v>
      </c>
      <c r="C95" s="18" cm="1">
        <f t="array" ref="C95:C104">H4:H13</f>
        <v>24395</v>
      </c>
      <c r="D95" s="2" cm="1">
        <f t="array" ref="D95">TREND($C$95:$C$104,$B$95:$B$104,$B95)</f>
        <v>33601.314909188026</v>
      </c>
      <c r="E95" s="2" cm="1">
        <f t="array" ref="E95">GROWTH($C$95:$C$104, $B$95:$B$104,B95)</f>
        <v>32848.041078896247</v>
      </c>
      <c r="F95" s="21">
        <f>$D$107*(B95)^2+$E$107*(B95)+$F$107</f>
        <v>33860.057107429515</v>
      </c>
      <c r="G95" s="19"/>
      <c r="H95" s="2">
        <f>ABS($C95-D95)</f>
        <v>9206.3149091880259</v>
      </c>
      <c r="I95" s="2">
        <f>ABS($C95-E95)</f>
        <v>8453.0410788962472</v>
      </c>
      <c r="J95" s="2">
        <f>ABS(C95-F95)</f>
        <v>9465.0571074295149</v>
      </c>
      <c r="M95" s="17">
        <f t="shared" ref="M95:M103" si="16">ABS(O95-E33)</f>
        <v>3097.0658999184916</v>
      </c>
      <c r="N95" s="17">
        <f>$D$82*M95^2+$E$82*M95+$F$82</f>
        <v>67184.669511562199</v>
      </c>
      <c r="O95" s="14">
        <v>1955.9341000815086</v>
      </c>
    </row>
    <row r="96" spans="1:15">
      <c r="A96" s="13">
        <f>A95+1</f>
        <v>2012</v>
      </c>
      <c r="B96" s="28">
        <f t="shared" si="15"/>
        <v>3630</v>
      </c>
      <c r="C96" s="18">
        <v>39946</v>
      </c>
      <c r="D96" s="2" cm="1">
        <f t="array" ref="D96">TREND($C$95:$C$104,$B$95:$B$104,$B96)</f>
        <v>33986.081541564847</v>
      </c>
      <c r="E96" s="2" cm="1">
        <f t="array" ref="E96">GROWTH($C$95:$C$104, $B$95:$B$104,B96)</f>
        <v>33303.924567115544</v>
      </c>
      <c r="F96" s="21">
        <f t="shared" ref="F96:F104" si="17">$D$107*(B96)^2+$E$107*(B96)+$F$107</f>
        <v>33662.036825633928</v>
      </c>
      <c r="G96" s="19"/>
      <c r="H96" s="2">
        <f t="shared" ref="H96:I104" si="18">ABS($C96-D96)</f>
        <v>5959.9184584351533</v>
      </c>
      <c r="I96" s="2">
        <f t="shared" si="18"/>
        <v>6642.0754328844559</v>
      </c>
      <c r="J96" s="2">
        <f t="shared" ref="J96:J104" si="19">ABS(C96-F96)</f>
        <v>6283.9631743660721</v>
      </c>
      <c r="M96" s="17">
        <f t="shared" si="16"/>
        <v>1774.041026068152</v>
      </c>
      <c r="N96" s="17">
        <f t="shared" ref="N96:N103" si="20">$D$82*M96^2+$E$82*M96+$F$82</f>
        <v>69743.629644599379</v>
      </c>
      <c r="O96" s="14">
        <v>2218.958973931848</v>
      </c>
    </row>
    <row r="97" spans="1:15">
      <c r="A97" s="13">
        <f t="shared" ref="A97:A104" si="21">A96+1</f>
        <v>2013</v>
      </c>
      <c r="B97" s="28">
        <f t="shared" si="15"/>
        <v>4195</v>
      </c>
      <c r="C97" s="18">
        <v>43000</v>
      </c>
      <c r="D97" s="2" cm="1">
        <f t="array" ref="D97">TREND($C$95:$C$104,$B$95:$B$104,$B97)</f>
        <v>33496.457335950196</v>
      </c>
      <c r="E97" s="2" cm="1">
        <f t="array" ref="E97">GROWTH($C$95:$C$104, $B$95:$B$104,B97)</f>
        <v>32724.888230996123</v>
      </c>
      <c r="F97" s="21">
        <f t="shared" si="17"/>
        <v>33949.431496356126</v>
      </c>
      <c r="G97" s="19"/>
      <c r="H97" s="2">
        <f t="shared" si="18"/>
        <v>9503.5426640498044</v>
      </c>
      <c r="I97" s="2">
        <f>ABS($C97-E97)</f>
        <v>10275.111769003877</v>
      </c>
      <c r="J97" s="2">
        <f t="shared" si="19"/>
        <v>9050.5685036438736</v>
      </c>
      <c r="M97" s="17">
        <f t="shared" si="16"/>
        <v>1926.8227850141716</v>
      </c>
      <c r="N97" s="17">
        <f t="shared" si="20"/>
        <v>69418.28930138587</v>
      </c>
      <c r="O97" s="14">
        <v>2164.1772149858284</v>
      </c>
    </row>
    <row r="98" spans="1:15">
      <c r="A98" s="13">
        <f t="shared" si="21"/>
        <v>2014</v>
      </c>
      <c r="B98" s="28">
        <f t="shared" si="15"/>
        <v>4345</v>
      </c>
      <c r="C98" s="18">
        <v>33330</v>
      </c>
      <c r="D98" s="2" cm="1">
        <f t="array" ref="D98">TREND($C$95:$C$104,$B$95:$B$104,$B98)</f>
        <v>33366.468608795862</v>
      </c>
      <c r="E98" s="2" cm="1">
        <f t="array" ref="E98">GROWTH($C$95:$C$104, $B$95:$B$104,B98)</f>
        <v>32572.860191457323</v>
      </c>
      <c r="F98" s="21">
        <f t="shared" si="17"/>
        <v>34081.280712502048</v>
      </c>
      <c r="G98" s="19"/>
      <c r="H98" s="2">
        <f t="shared" si="18"/>
        <v>36.468608795861655</v>
      </c>
      <c r="I98" s="2">
        <f t="shared" si="18"/>
        <v>757.1398085426772</v>
      </c>
      <c r="J98" s="2">
        <f t="shared" si="19"/>
        <v>751.28071250204812</v>
      </c>
      <c r="M98" s="17">
        <f t="shared" si="16"/>
        <v>9067</v>
      </c>
      <c r="N98" s="17">
        <f t="shared" si="20"/>
        <v>62902.770777525744</v>
      </c>
      <c r="O98" s="14">
        <v>0</v>
      </c>
    </row>
    <row r="99" spans="1:15">
      <c r="A99" s="13">
        <f t="shared" si="21"/>
        <v>2015</v>
      </c>
      <c r="B99" s="28">
        <f t="shared" si="15"/>
        <v>1285</v>
      </c>
      <c r="C99" s="18">
        <v>36611</v>
      </c>
      <c r="D99" s="2" cm="1">
        <f t="array" ref="D99">TREND($C$95:$C$104,$B$95:$B$104,$B99)</f>
        <v>36018.238642744247</v>
      </c>
      <c r="E99" s="2" cm="1">
        <f t="array" ref="E99">GROWTH($C$95:$C$104, $B$95:$B$104,B99)</f>
        <v>35818.742934042471</v>
      </c>
      <c r="F99" s="21">
        <f t="shared" si="17"/>
        <v>36003.661771765976</v>
      </c>
      <c r="G99" s="19"/>
      <c r="H99" s="2">
        <f t="shared" si="18"/>
        <v>592.76135725575296</v>
      </c>
      <c r="I99" s="2">
        <f t="shared" si="18"/>
        <v>792.25706595752854</v>
      </c>
      <c r="J99" s="2">
        <f t="shared" si="19"/>
        <v>607.33822823402443</v>
      </c>
      <c r="M99" s="17">
        <f t="shared" si="16"/>
        <v>9520</v>
      </c>
      <c r="N99" s="17">
        <f t="shared" si="20"/>
        <v>63063.364051835393</v>
      </c>
      <c r="O99" s="14">
        <v>0</v>
      </c>
    </row>
    <row r="100" spans="1:15">
      <c r="A100" s="13">
        <f t="shared" si="21"/>
        <v>2016</v>
      </c>
      <c r="B100" s="28">
        <f t="shared" si="15"/>
        <v>2729</v>
      </c>
      <c r="C100" s="18">
        <v>27769</v>
      </c>
      <c r="D100" s="2" cm="1">
        <f t="array" ref="D100">TREND($C$95:$C$104,$B$95:$B$104,$B100)</f>
        <v>34766.880496005208</v>
      </c>
      <c r="E100" s="2" cm="1">
        <f t="array" ref="E100">GROWTH($C$95:$C$104, $B$95:$B$104,B100)</f>
        <v>34248.578947397073</v>
      </c>
      <c r="F100" s="21">
        <f t="shared" si="17"/>
        <v>33887.869065483486</v>
      </c>
      <c r="G100" s="19"/>
      <c r="H100" s="2">
        <f t="shared" si="18"/>
        <v>6997.8804960052075</v>
      </c>
      <c r="I100" s="2">
        <f t="shared" si="18"/>
        <v>6479.5789473970726</v>
      </c>
      <c r="J100" s="2">
        <f t="shared" si="19"/>
        <v>6118.8690654834863</v>
      </c>
      <c r="M100" s="17">
        <f t="shared" si="16"/>
        <v>4836.0687919443044</v>
      </c>
      <c r="N100" s="17">
        <f t="shared" si="20"/>
        <v>64709.663833289058</v>
      </c>
      <c r="O100" s="14">
        <v>1122.9312080556952</v>
      </c>
    </row>
    <row r="101" spans="1:15">
      <c r="A101" s="13">
        <f t="shared" si="21"/>
        <v>2017</v>
      </c>
      <c r="B101" s="28">
        <f t="shared" si="15"/>
        <v>1626</v>
      </c>
      <c r="C101" s="18">
        <v>40642</v>
      </c>
      <c r="D101" s="2" cm="1">
        <f t="array" ref="D101">TREND($C$95:$C$104,$B$95:$B$104,$B101)</f>
        <v>35722.730936346728</v>
      </c>
      <c r="E101" s="2" cm="1">
        <f t="array" ref="E101">GROWTH($C$95:$C$104, $B$95:$B$104,B101)</f>
        <v>35441.576442015583</v>
      </c>
      <c r="F101" s="21">
        <f t="shared" si="17"/>
        <v>35309.206668296363</v>
      </c>
      <c r="G101" s="19"/>
      <c r="H101" s="2">
        <f t="shared" si="18"/>
        <v>4919.2690636532716</v>
      </c>
      <c r="I101" s="2">
        <f t="shared" si="18"/>
        <v>5200.4235579844171</v>
      </c>
      <c r="J101" s="2">
        <f t="shared" si="19"/>
        <v>5332.7933317036368</v>
      </c>
      <c r="M101" s="17">
        <f t="shared" si="16"/>
        <v>8466</v>
      </c>
      <c r="N101" s="17">
        <f t="shared" si="20"/>
        <v>62795.410409454504</v>
      </c>
      <c r="O101" s="14">
        <v>0</v>
      </c>
    </row>
    <row r="102" spans="1:15">
      <c r="A102" s="13">
        <f t="shared" si="21"/>
        <v>2018</v>
      </c>
      <c r="B102" s="28">
        <f t="shared" si="15"/>
        <v>627</v>
      </c>
      <c r="C102" s="18">
        <v>33746</v>
      </c>
      <c r="D102" s="2" cm="1">
        <f t="array" ref="D102">TREND($C$95:$C$104,$B$95:$B$104,$B102)</f>
        <v>36588.455859194582</v>
      </c>
      <c r="E102" s="2" cm="1">
        <f t="array" ref="E102">GROWTH($C$95:$C$104, $B$95:$B$104,B102)</f>
        <v>36557.912914738357</v>
      </c>
      <c r="F102" s="21">
        <f t="shared" si="17"/>
        <v>37684.163262815913</v>
      </c>
      <c r="G102" s="19"/>
      <c r="H102" s="2">
        <f t="shared" si="18"/>
        <v>2842.4558591945824</v>
      </c>
      <c r="I102" s="2">
        <f t="shared" si="18"/>
        <v>2811.9129147383574</v>
      </c>
      <c r="J102" s="2">
        <f t="shared" si="19"/>
        <v>3938.1632628159132</v>
      </c>
      <c r="M102" s="17">
        <f t="shared" si="16"/>
        <v>1.4970548827477614E-3</v>
      </c>
      <c r="N102" s="17">
        <f t="shared" si="20"/>
        <v>74091.732106212774</v>
      </c>
      <c r="O102" s="14">
        <v>2537.9985029451173</v>
      </c>
    </row>
    <row r="103" spans="1:15">
      <c r="A103" s="13">
        <f t="shared" si="21"/>
        <v>2019</v>
      </c>
      <c r="B103" s="28">
        <f t="shared" si="15"/>
        <v>3254</v>
      </c>
      <c r="C103" s="18">
        <v>29322</v>
      </c>
      <c r="D103" s="2" cm="1">
        <f t="array" ref="D103">TREND($C$95:$C$104,$B$95:$B$104,$B103)</f>
        <v>34311.919950965043</v>
      </c>
      <c r="E103" s="2" cm="1">
        <f t="array" ref="E103">GROWTH($C$95:$C$104, $B$95:$B$104,B103)</f>
        <v>33694.932277499349</v>
      </c>
      <c r="F103" s="21">
        <f t="shared" si="17"/>
        <v>33654.037193030534</v>
      </c>
      <c r="G103" s="19"/>
      <c r="H103" s="2">
        <f t="shared" si="18"/>
        <v>4989.9199509650425</v>
      </c>
      <c r="I103" s="2">
        <f t="shared" si="18"/>
        <v>4372.9322774993489</v>
      </c>
      <c r="J103" s="2">
        <f t="shared" si="19"/>
        <v>4332.0371930305337</v>
      </c>
      <c r="M103" s="17">
        <f t="shared" si="16"/>
        <v>8692</v>
      </c>
      <c r="N103" s="17">
        <f t="shared" si="20"/>
        <v>62821.640498170833</v>
      </c>
      <c r="O103" s="14">
        <v>0</v>
      </c>
    </row>
    <row r="104" spans="1:15">
      <c r="A104" s="13">
        <f t="shared" si="21"/>
        <v>2020</v>
      </c>
      <c r="B104" s="28">
        <f t="shared" si="15"/>
        <v>1459</v>
      </c>
      <c r="C104" s="18">
        <v>38965</v>
      </c>
      <c r="D104" s="2" cm="1">
        <f t="array" ref="D104">TREND($C$95:$C$104,$B$95:$B$104,$B104)</f>
        <v>35867.451719245219</v>
      </c>
      <c r="E104" s="2" cm="1">
        <f t="array" ref="E104">GROWTH($C$95:$C$104, $B$95:$B$104,B104)</f>
        <v>35625.789636041322</v>
      </c>
      <c r="F104" s="21">
        <f t="shared" si="17"/>
        <v>35634.255896686052</v>
      </c>
      <c r="G104" s="19"/>
      <c r="H104" s="2">
        <f t="shared" si="18"/>
        <v>3097.5482807547814</v>
      </c>
      <c r="I104" s="2">
        <f t="shared" si="18"/>
        <v>3339.2103639586785</v>
      </c>
      <c r="J104" s="2">
        <f t="shared" si="19"/>
        <v>3330.7441033139476</v>
      </c>
    </row>
    <row r="105" spans="1:15">
      <c r="C105" s="31">
        <f>SUM(_xlfn.ANCHORARRAY(C95))</f>
        <v>347726</v>
      </c>
      <c r="D105" s="4"/>
      <c r="E105" s="4"/>
      <c r="F105" s="25"/>
      <c r="G105" s="25"/>
      <c r="H105" s="4"/>
      <c r="I105" s="4"/>
      <c r="J105" s="4"/>
      <c r="N105" s="31">
        <f>SUM(N94:N103)</f>
        <v>630399.66168610298</v>
      </c>
      <c r="O105" s="30"/>
    </row>
    <row r="106" spans="1:15">
      <c r="D106" t="s">
        <v>19</v>
      </c>
      <c r="I106" s="4"/>
      <c r="J106" s="4"/>
    </row>
    <row r="107" spans="1:15">
      <c r="D107" cm="1">
        <f t="array" ref="D107:F107">LINEST(_xlfn.ANCHORARRAY(C95),B95:B104^{1,2},TRUE,FALSE)</f>
        <v>5.1794635004838235E-4</v>
      </c>
      <c r="E107">
        <v>-3.5442670551070075</v>
      </c>
      <c r="F107">
        <v>39702.798975719837</v>
      </c>
      <c r="I107" s="4"/>
      <c r="J107" s="4"/>
    </row>
    <row r="108" spans="1:15">
      <c r="C108" s="30">
        <f>SUM(_xlfn.ANCHORARRAY(C95))</f>
        <v>347726</v>
      </c>
      <c r="I108" s="4"/>
      <c r="J108" s="4"/>
    </row>
    <row r="109" spans="1:15">
      <c r="D109" s="12"/>
      <c r="E109" s="12" t="s">
        <v>21</v>
      </c>
      <c r="F109" s="12" t="s">
        <v>22</v>
      </c>
      <c r="G109" s="12"/>
      <c r="H109" s="12" t="s">
        <v>23</v>
      </c>
      <c r="I109" s="4"/>
      <c r="J109" s="4"/>
    </row>
    <row r="110" spans="1:15">
      <c r="D110" s="12" t="s">
        <v>24</v>
      </c>
      <c r="E110" s="2">
        <f>AVERAGE(D95:D104)</f>
        <v>34772.599999999991</v>
      </c>
      <c r="F110" s="2">
        <f>AVERAGE(E95:E104)</f>
        <v>34283.724722019935</v>
      </c>
      <c r="G110" s="2"/>
      <c r="H110" s="2">
        <f>AVERAGE(F95:F104)</f>
        <v>34772.599999999991</v>
      </c>
      <c r="I110" s="4"/>
      <c r="J110" s="4"/>
    </row>
    <row r="111" spans="1:15">
      <c r="D111" s="12" t="s">
        <v>25</v>
      </c>
      <c r="E111" s="15">
        <f>MIN(E110:H110)</f>
        <v>34283.724722019935</v>
      </c>
      <c r="F111" s="15"/>
      <c r="G111" s="15"/>
      <c r="H111" s="15"/>
      <c r="I111" s="4"/>
      <c r="J111" s="4"/>
    </row>
    <row r="112" spans="1:15">
      <c r="D112" s="12" t="s">
        <v>26</v>
      </c>
      <c r="E112" s="22" t="str">
        <f ca="1">OFFSET(D109,0,MATCH(E111,E110:H110,0))</f>
        <v>Exponential</v>
      </c>
      <c r="F112" s="23"/>
      <c r="G112" s="23"/>
      <c r="H112" s="24"/>
      <c r="I112" s="4"/>
      <c r="J112" s="4"/>
    </row>
    <row r="114" spans="1:15">
      <c r="A114" t="s">
        <v>28</v>
      </c>
      <c r="M114" s="33" t="s">
        <v>43</v>
      </c>
      <c r="N114" t="s">
        <v>36</v>
      </c>
      <c r="O114" t="s">
        <v>42</v>
      </c>
    </row>
    <row r="115" spans="1:15">
      <c r="A115" s="10" t="s">
        <v>10</v>
      </c>
      <c r="B115" s="10" t="s">
        <v>34</v>
      </c>
      <c r="C115" s="10" t="s">
        <v>17</v>
      </c>
      <c r="D115" s="11" t="s">
        <v>11</v>
      </c>
      <c r="E115" s="11" t="s">
        <v>12</v>
      </c>
      <c r="F115" s="20" t="s">
        <v>13</v>
      </c>
      <c r="G115" s="20"/>
      <c r="H115" s="12" t="s">
        <v>14</v>
      </c>
      <c r="I115" s="12" t="s">
        <v>15</v>
      </c>
      <c r="J115" s="12" t="s">
        <v>16</v>
      </c>
      <c r="M115" s="17">
        <f>ABS(O115-E4)</f>
        <v>732</v>
      </c>
      <c r="N115" s="17">
        <f>$D$128*M115^2+$E$128*M115+$F$128</f>
        <v>69750.017095611067</v>
      </c>
      <c r="O115" s="14">
        <v>7000</v>
      </c>
    </row>
    <row r="116" spans="1:15">
      <c r="A116" s="13">
        <v>2011</v>
      </c>
      <c r="B116" s="28">
        <f>$B95</f>
        <v>4074</v>
      </c>
      <c r="C116" s="18" cm="1">
        <f t="array" ref="C116:C125">H32:H41</f>
        <v>67713</v>
      </c>
      <c r="D116" s="2" cm="1">
        <f t="array" ref="D116">TREND($C$116:$C$125,$B$116:$B$125,$B116)</f>
        <v>62522.434600814398</v>
      </c>
      <c r="E116" s="2" cm="1">
        <f t="array" ref="E116">GROWTH($C$116:$C$125, $B$116:$B$125,B116)</f>
        <v>62475.652135687509</v>
      </c>
      <c r="F116" s="21">
        <f>$D$128*(B116)^2+$E$128*(B116)+$F$128</f>
        <v>62666.650830647312</v>
      </c>
      <c r="G116" s="19"/>
      <c r="H116" s="2">
        <f>ABS($C116-D116)</f>
        <v>5190.5653991856016</v>
      </c>
      <c r="I116" s="2">
        <f>ABS($C116-E116)</f>
        <v>5237.3478643124909</v>
      </c>
      <c r="J116" s="2">
        <f>ABS(C116-F116)</f>
        <v>5046.3491693526885</v>
      </c>
      <c r="M116" s="17">
        <f t="shared" ref="M116:M124" si="22">ABS(O116-E5)</f>
        <v>2936.9136600108068</v>
      </c>
      <c r="N116" s="17">
        <f t="shared" ref="N116:N124" si="23">$D$128*M116^2+$E$128*M116+$F$128</f>
        <v>64352.907559505074</v>
      </c>
      <c r="O116" s="14">
        <v>5746.0863399891932</v>
      </c>
    </row>
    <row r="117" spans="1:15">
      <c r="A117" s="13">
        <f>A116+1</f>
        <v>2012</v>
      </c>
      <c r="B117" s="28">
        <f t="shared" ref="B117:B125" si="24">$B96</f>
        <v>3630</v>
      </c>
      <c r="C117" s="18">
        <v>64054</v>
      </c>
      <c r="D117" s="2" cm="1">
        <f t="array" ref="D117">TREND($C$116:$C$125,$B$116:$B$125,$B117)</f>
        <v>63416.861825761429</v>
      </c>
      <c r="E117" s="2" cm="1">
        <f t="array" ref="E117">GROWTH($C$116:$C$125, $B$116:$B$125,B117)</f>
        <v>63340.319229560686</v>
      </c>
      <c r="F117" s="21">
        <f t="shared" ref="F117:F125" si="25">$D$128*(B117)^2+$E$128*(B117)+$F$128</f>
        <v>63236.247656343228</v>
      </c>
      <c r="G117" s="19"/>
      <c r="H117" s="2">
        <f t="shared" ref="H117:I125" si="26">ABS($C117-D117)</f>
        <v>637.13817423857108</v>
      </c>
      <c r="I117" s="2">
        <f t="shared" si="26"/>
        <v>713.68077043931407</v>
      </c>
      <c r="J117" s="2">
        <f t="shared" ref="J117:J125" si="27">ABS(C117-F117)</f>
        <v>817.7523436567717</v>
      </c>
      <c r="M117" s="17">
        <f t="shared" si="22"/>
        <v>1753.4052256359209</v>
      </c>
      <c r="N117" s="17">
        <f t="shared" si="23"/>
        <v>66900.877134549301</v>
      </c>
      <c r="O117" s="14">
        <v>6434.5947743640791</v>
      </c>
    </row>
    <row r="118" spans="1:15">
      <c r="A118" s="13">
        <f t="shared" ref="A118:A125" si="28">A117+1</f>
        <v>2013</v>
      </c>
      <c r="B118" s="28">
        <f t="shared" si="24"/>
        <v>4195</v>
      </c>
      <c r="C118" s="18">
        <v>60326</v>
      </c>
      <c r="D118" s="2" cm="1">
        <f t="array" ref="D118">TREND($C$116:$C$125,$B$116:$B$125,$B118)</f>
        <v>62278.683037259019</v>
      </c>
      <c r="E118" s="2" cm="1">
        <f t="array" ref="E118">GROWTH($C$116:$C$125, $B$116:$B$125,B118)</f>
        <v>62242.064399736206</v>
      </c>
      <c r="F118" s="21">
        <f t="shared" si="25"/>
        <v>62531.159154681882</v>
      </c>
      <c r="G118" s="19"/>
      <c r="H118" s="2">
        <f t="shared" si="26"/>
        <v>1952.6830372590193</v>
      </c>
      <c r="I118" s="2">
        <f>ABS($C118-E118)</f>
        <v>1916.0643997362058</v>
      </c>
      <c r="J118" s="2">
        <f t="shared" si="27"/>
        <v>2205.1591546818818</v>
      </c>
      <c r="M118" s="17">
        <f t="shared" si="22"/>
        <v>2352.6596323618378</v>
      </c>
      <c r="N118" s="17">
        <f t="shared" si="23"/>
        <v>65509.670026876316</v>
      </c>
      <c r="O118" s="14">
        <v>6083.3403676381622</v>
      </c>
    </row>
    <row r="119" spans="1:15">
      <c r="A119" s="13">
        <f t="shared" si="28"/>
        <v>2014</v>
      </c>
      <c r="B119" s="28">
        <f t="shared" si="24"/>
        <v>4345</v>
      </c>
      <c r="C119" s="18">
        <v>61552</v>
      </c>
      <c r="D119" s="2" cm="1">
        <f t="array" ref="D119">TREND($C$116:$C$125,$B$116:$B$125,$B119)</f>
        <v>61976.511677479619</v>
      </c>
      <c r="E119" s="2" cm="1">
        <f t="array" ref="E119">GROWTH($C$116:$C$125, $B$116:$B$125,B119)</f>
        <v>61953.704872670904</v>
      </c>
      <c r="F119" s="21">
        <f t="shared" si="25"/>
        <v>62374.929513209747</v>
      </c>
      <c r="G119" s="19"/>
      <c r="H119" s="2">
        <f t="shared" si="26"/>
        <v>424.51167747961881</v>
      </c>
      <c r="I119" s="2">
        <f t="shared" si="26"/>
        <v>401.70487267090357</v>
      </c>
      <c r="J119" s="2">
        <f t="shared" si="27"/>
        <v>822.9295132097468</v>
      </c>
      <c r="M119" s="17">
        <f t="shared" si="22"/>
        <v>782</v>
      </c>
      <c r="N119" s="17">
        <f t="shared" si="23"/>
        <v>69596.523772295594</v>
      </c>
      <c r="O119" s="14">
        <v>7000</v>
      </c>
    </row>
    <row r="120" spans="1:15">
      <c r="A120" s="13">
        <f t="shared" si="28"/>
        <v>2015</v>
      </c>
      <c r="B120" s="28">
        <f t="shared" si="24"/>
        <v>1285</v>
      </c>
      <c r="C120" s="18">
        <v>70109</v>
      </c>
      <c r="D120" s="2" cm="1">
        <f t="array" ref="D120">TREND($C$116:$C$125,$B$116:$B$125,$B120)</f>
        <v>68140.807416979398</v>
      </c>
      <c r="E120" s="2" cm="1">
        <f t="array" ref="E120">GROWTH($C$116:$C$125, $B$116:$B$125,B120)</f>
        <v>68109.561613276455</v>
      </c>
      <c r="F120" s="21">
        <f t="shared" si="25"/>
        <v>68132.68264494944</v>
      </c>
      <c r="G120" s="19"/>
      <c r="H120" s="2">
        <f t="shared" si="26"/>
        <v>1968.1925830206019</v>
      </c>
      <c r="I120" s="2">
        <f t="shared" si="26"/>
        <v>1999.4383867235447</v>
      </c>
      <c r="J120" s="2">
        <f t="shared" si="27"/>
        <v>1976.3173550505599</v>
      </c>
      <c r="M120" s="17">
        <f t="shared" si="22"/>
        <v>34.61343466278413</v>
      </c>
      <c r="N120" s="17">
        <f t="shared" si="23"/>
        <v>72041.370932379505</v>
      </c>
      <c r="O120" s="14">
        <v>6825.6134346627841</v>
      </c>
    </row>
    <row r="121" spans="1:15">
      <c r="A121" s="13">
        <f t="shared" si="28"/>
        <v>2016</v>
      </c>
      <c r="B121" s="28">
        <f t="shared" si="24"/>
        <v>2729</v>
      </c>
      <c r="C121" s="18">
        <v>63905</v>
      </c>
      <c r="D121" s="2" cm="1">
        <f t="array" ref="D121">TREND($C$116:$C$125,$B$116:$B$125,$B121)</f>
        <v>65231.904460169695</v>
      </c>
      <c r="E121" s="2" cm="1">
        <f t="array" ref="E121">GROWTH($C$116:$C$125, $B$116:$B$125,B121)</f>
        <v>65131.927164814762</v>
      </c>
      <c r="F121" s="21">
        <f t="shared" si="25"/>
        <v>64741.966153424903</v>
      </c>
      <c r="G121" s="19"/>
      <c r="H121" s="2">
        <f t="shared" si="26"/>
        <v>1326.9044601696951</v>
      </c>
      <c r="I121" s="2">
        <f>ABS($C121-E121)</f>
        <v>1226.9271648147624</v>
      </c>
      <c r="J121" s="2">
        <f t="shared" si="27"/>
        <v>836.96615342490259</v>
      </c>
      <c r="M121" s="17">
        <f t="shared" si="22"/>
        <v>585</v>
      </c>
      <c r="N121" s="17">
        <f t="shared" si="23"/>
        <v>70209.647638150447</v>
      </c>
      <c r="O121" s="14">
        <v>7000</v>
      </c>
    </row>
    <row r="122" spans="1:15">
      <c r="A122" s="13">
        <f t="shared" si="28"/>
        <v>2017</v>
      </c>
      <c r="B122" s="28">
        <f t="shared" si="24"/>
        <v>1626</v>
      </c>
      <c r="C122" s="18">
        <v>69348</v>
      </c>
      <c r="D122" s="2" cm="1">
        <f t="array" ref="D122">TREND($C$116:$C$125,$B$116:$B$125,$B122)</f>
        <v>67453.871192414226</v>
      </c>
      <c r="E122" s="2" cm="1">
        <f t="array" ref="E122">GROWTH($C$116:$C$125, $B$116:$B$125,B122)</f>
        <v>67394.34239148951</v>
      </c>
      <c r="F122" s="21">
        <f t="shared" si="25"/>
        <v>67223.3834278055</v>
      </c>
      <c r="G122" s="19"/>
      <c r="H122" s="2">
        <f t="shared" si="26"/>
        <v>1894.1288075857738</v>
      </c>
      <c r="I122" s="2">
        <f t="shared" si="26"/>
        <v>1953.6576085104898</v>
      </c>
      <c r="J122" s="2">
        <f t="shared" si="27"/>
        <v>2124.6165721944999</v>
      </c>
      <c r="M122" s="17">
        <f t="shared" si="22"/>
        <v>3542.3053290467878</v>
      </c>
      <c r="N122" s="17">
        <f t="shared" si="23"/>
        <v>63362.209706683432</v>
      </c>
      <c r="O122" s="14">
        <v>5550.6946709532122</v>
      </c>
    </row>
    <row r="123" spans="1:15">
      <c r="A123" s="13">
        <f t="shared" si="28"/>
        <v>2018</v>
      </c>
      <c r="B123" s="28">
        <f t="shared" si="24"/>
        <v>627</v>
      </c>
      <c r="C123" s="18">
        <v>68303</v>
      </c>
      <c r="D123" s="2" cm="1">
        <f t="array" ref="D123">TREND($C$116:$C$125,$B$116:$B$125,$B123)</f>
        <v>69466.332448545043</v>
      </c>
      <c r="E123" s="2" cm="1">
        <f t="array" ref="E123">GROWTH($C$116:$C$125, $B$116:$B$125,B123)</f>
        <v>69511.186549381455</v>
      </c>
      <c r="F123" s="21">
        <f t="shared" si="25"/>
        <v>70077.051503357972</v>
      </c>
      <c r="G123" s="19"/>
      <c r="H123" s="2">
        <f t="shared" si="26"/>
        <v>1163.332448545043</v>
      </c>
      <c r="I123" s="2">
        <f t="shared" si="26"/>
        <v>1208.1865493814548</v>
      </c>
      <c r="J123" s="2">
        <f t="shared" si="27"/>
        <v>1774.0515033579723</v>
      </c>
      <c r="M123" s="17">
        <f t="shared" si="22"/>
        <v>4.2803754786291393E-4</v>
      </c>
      <c r="N123" s="17">
        <f t="shared" si="23"/>
        <v>72162.410898445436</v>
      </c>
      <c r="O123" s="14">
        <v>5791.9995719624521</v>
      </c>
    </row>
    <row r="124" spans="1:15">
      <c r="A124" s="13">
        <f t="shared" si="28"/>
        <v>2019</v>
      </c>
      <c r="B124" s="28">
        <f t="shared" si="24"/>
        <v>3254</v>
      </c>
      <c r="C124" s="18">
        <v>59915</v>
      </c>
      <c r="D124" s="2" cm="1">
        <f t="array" ref="D124">TREND($C$116:$C$125,$B$116:$B$125,$B124)</f>
        <v>64174.304700941793</v>
      </c>
      <c r="E124" s="2" cm="1">
        <f t="array" ref="E124">GROWTH($C$116:$C$125, $B$116:$B$125,B124)</f>
        <v>64081.911456622256</v>
      </c>
      <c r="F124" s="21">
        <f t="shared" si="25"/>
        <v>63807.617814665791</v>
      </c>
      <c r="G124" s="19"/>
      <c r="H124" s="2">
        <f t="shared" si="26"/>
        <v>4259.3047009417933</v>
      </c>
      <c r="I124" s="2">
        <f t="shared" si="26"/>
        <v>4166.9114566222561</v>
      </c>
      <c r="J124" s="2">
        <f t="shared" si="27"/>
        <v>3892.6178146657912</v>
      </c>
      <c r="M124" s="17">
        <f t="shared" si="22"/>
        <v>233</v>
      </c>
      <c r="N124" s="17">
        <f t="shared" si="23"/>
        <v>71360.96736023642</v>
      </c>
      <c r="O124" s="14">
        <v>7000</v>
      </c>
    </row>
    <row r="125" spans="1:15">
      <c r="A125" s="13">
        <f t="shared" si="28"/>
        <v>2020</v>
      </c>
      <c r="B125" s="28">
        <f t="shared" si="24"/>
        <v>1459</v>
      </c>
      <c r="C125" s="18">
        <v>67227</v>
      </c>
      <c r="D125" s="2" cm="1">
        <f t="array" ref="D125">TREND($C$116:$C$125,$B$116:$B$125,$B125)</f>
        <v>67790.288639635299</v>
      </c>
      <c r="E125" s="2" cm="1">
        <f t="array" ref="E125">GROWTH($C$116:$C$125, $B$116:$B$125,B125)</f>
        <v>67743.667696984005</v>
      </c>
      <c r="F125" s="21">
        <f t="shared" si="25"/>
        <v>67660.311300914254</v>
      </c>
      <c r="G125" s="19"/>
      <c r="H125" s="2">
        <f t="shared" si="26"/>
        <v>563.28863963529875</v>
      </c>
      <c r="I125" s="2">
        <f t="shared" si="26"/>
        <v>516.66769698400458</v>
      </c>
      <c r="J125" s="2">
        <f t="shared" si="27"/>
        <v>433.31130091425439</v>
      </c>
    </row>
    <row r="126" spans="1:15">
      <c r="C126" s="31">
        <f>SUM(_xlfn.ANCHORARRAY(C116))</f>
        <v>652452</v>
      </c>
      <c r="N126" s="31">
        <f>SUM(N115:N124)</f>
        <v>685246.60212473257</v>
      </c>
      <c r="O126" s="30"/>
    </row>
    <row r="127" spans="1:15">
      <c r="D127" t="s">
        <v>19</v>
      </c>
    </row>
    <row r="128" spans="1:15">
      <c r="D128" cm="1">
        <f t="array" ref="D128:F128">LINEST(_xlfn.ANCHORARRAY(C116),B116:B125^{1,2},TRUE,FALSE)</f>
        <v>2.8868994067203453E-4</v>
      </c>
      <c r="E128">
        <v>-3.50694303648672</v>
      </c>
      <c r="F128">
        <v>72162.412399548688</v>
      </c>
    </row>
    <row r="130" spans="1:15">
      <c r="D130" s="12"/>
      <c r="E130" s="12" t="s">
        <v>21</v>
      </c>
      <c r="F130" s="12" t="s">
        <v>22</v>
      </c>
      <c r="G130" s="12"/>
      <c r="H130" s="12" t="s">
        <v>23</v>
      </c>
    </row>
    <row r="131" spans="1:15">
      <c r="D131" s="12" t="s">
        <v>24</v>
      </c>
      <c r="E131" s="2">
        <f>AVERAGE(D116:D125)</f>
        <v>65245.19999999999</v>
      </c>
      <c r="F131" s="2">
        <f>AVERAGE(E116:E125)</f>
        <v>65198.433751022385</v>
      </c>
      <c r="G131" s="2"/>
      <c r="H131" s="2">
        <f>AVERAGE(F116:F125)</f>
        <v>65245.2</v>
      </c>
    </row>
    <row r="132" spans="1:15">
      <c r="D132" s="12" t="s">
        <v>25</v>
      </c>
      <c r="E132" s="15">
        <f>MIN(E131:H131)</f>
        <v>65198.433751022385</v>
      </c>
      <c r="F132" s="15"/>
      <c r="G132" s="15"/>
      <c r="H132" s="15"/>
    </row>
    <row r="133" spans="1:15">
      <c r="D133" s="12" t="s">
        <v>26</v>
      </c>
      <c r="E133" s="22" t="str">
        <f ca="1">OFFSET(D130,0,MATCH(E132,E131:H131,0))</f>
        <v>Exponential</v>
      </c>
      <c r="F133" s="23"/>
      <c r="G133" s="23"/>
      <c r="H133" s="24"/>
    </row>
    <row r="136" spans="1:15">
      <c r="M136" s="33" t="s">
        <v>41</v>
      </c>
      <c r="N136" t="s">
        <v>36</v>
      </c>
      <c r="O136" t="s">
        <v>44</v>
      </c>
    </row>
    <row r="137" spans="1:15">
      <c r="A137" t="s">
        <v>29</v>
      </c>
      <c r="M137" s="17">
        <f>ABS(O137-F32)</f>
        <v>11596</v>
      </c>
      <c r="N137" s="17">
        <f>$D$151*M137^2+$E$151*M137+$F$151</f>
        <v>178173.30166916244</v>
      </c>
      <c r="O137" s="14">
        <v>15000</v>
      </c>
    </row>
    <row r="138" spans="1:15">
      <c r="A138" s="10" t="s">
        <v>10</v>
      </c>
      <c r="B138" s="10" t="s">
        <v>35</v>
      </c>
      <c r="C138" s="10" t="s">
        <v>17</v>
      </c>
      <c r="D138" s="11" t="s">
        <v>11</v>
      </c>
      <c r="E138" s="11" t="s">
        <v>12</v>
      </c>
      <c r="F138" s="20" t="s">
        <v>13</v>
      </c>
      <c r="G138" s="20"/>
      <c r="H138" s="12" t="s">
        <v>14</v>
      </c>
      <c r="I138" s="12" t="s">
        <v>15</v>
      </c>
      <c r="J138" s="12" t="s">
        <v>16</v>
      </c>
      <c r="M138" s="17">
        <f t="shared" ref="M138:M146" si="29">ABS(O138-F33)</f>
        <v>9656</v>
      </c>
      <c r="N138" s="17">
        <f t="shared" ref="N138:N146" si="30">$D$151*M138^2+$E$151*M138+$F$151</f>
        <v>128592.85613847448</v>
      </c>
      <c r="O138" s="14">
        <v>15000</v>
      </c>
    </row>
    <row r="139" spans="1:15">
      <c r="A139" s="13">
        <v>2011</v>
      </c>
      <c r="B139" s="28">
        <f t="shared" ref="B139:B148" si="31">ABS($F4-$F32)</f>
        <v>1871</v>
      </c>
      <c r="C139" s="18" cm="1">
        <f t="array" ref="C139:C148">H4:H13</f>
        <v>24395</v>
      </c>
      <c r="D139" s="2" cm="1">
        <f t="array" ref="D139">TREND($C$139:$C$148,$B$139:$B$148,$B139)</f>
        <v>34476.170951169683</v>
      </c>
      <c r="E139" s="2" cm="1">
        <f t="array" ref="E139">GROWTH($C$139:$C$148, $B$139:$B$148,B139)</f>
        <v>33939.531163711596</v>
      </c>
      <c r="F139" s="21">
        <f>$D$151*(B139)^2+$E$151*(B139)+$F$151</f>
        <v>34551.578365682348</v>
      </c>
      <c r="G139" s="19"/>
      <c r="H139" s="2">
        <f>ABS($C139-D139)</f>
        <v>10081.170951169683</v>
      </c>
      <c r="I139" s="2">
        <f>ABS($C139-E139)</f>
        <v>9544.5311637115956</v>
      </c>
      <c r="J139" s="2">
        <f>ABS(C139-F139)</f>
        <v>10156.578365682348</v>
      </c>
      <c r="M139" s="17">
        <f t="shared" si="29"/>
        <v>11329</v>
      </c>
      <c r="N139" s="17">
        <f t="shared" si="30"/>
        <v>170730.56662712499</v>
      </c>
      <c r="O139" s="14">
        <v>15000</v>
      </c>
    </row>
    <row r="140" spans="1:15">
      <c r="A140" s="13">
        <f>A139+1</f>
        <v>2012</v>
      </c>
      <c r="B140" s="28">
        <f t="shared" si="31"/>
        <v>2025</v>
      </c>
      <c r="C140" s="18">
        <v>39946</v>
      </c>
      <c r="D140" s="2" cm="1">
        <f t="array" ref="D140">TREND($C$139:$C$148,$B$139:$B$148,$B140)</f>
        <v>34384.540936075609</v>
      </c>
      <c r="E140" s="2" cm="1">
        <f t="array" ref="E140">GROWTH($C$139:$C$148, $B$139:$B$148,B140)</f>
        <v>33842.422575027245</v>
      </c>
      <c r="F140" s="21">
        <f t="shared" ref="F140:F148" si="32">$D$151*(B140)^2+$E$151*(B140)+$F$151</f>
        <v>34783.285392093167</v>
      </c>
      <c r="G140" s="19"/>
      <c r="H140" s="2">
        <f t="shared" ref="H140:I148" si="33">ABS($C140-D140)</f>
        <v>5561.4590639243906</v>
      </c>
      <c r="I140" s="2">
        <f t="shared" si="33"/>
        <v>6103.5774249727547</v>
      </c>
      <c r="J140" s="2">
        <f t="shared" ref="J140:J148" si="34">ABS(C140-F140)</f>
        <v>5162.7146079068334</v>
      </c>
      <c r="M140" s="17">
        <f t="shared" si="29"/>
        <v>10634</v>
      </c>
      <c r="N140" s="17">
        <f t="shared" si="30"/>
        <v>152283.70241885399</v>
      </c>
      <c r="O140" s="14">
        <v>15000</v>
      </c>
    </row>
    <row r="141" spans="1:15">
      <c r="A141" s="13">
        <f t="shared" ref="A141:A148" si="35">A140+1</f>
        <v>2013</v>
      </c>
      <c r="B141" s="28">
        <f t="shared" si="31"/>
        <v>575</v>
      </c>
      <c r="C141" s="18">
        <v>43000</v>
      </c>
      <c r="D141" s="2" cm="1">
        <f t="array" ref="D141">TREND($C$139:$C$148,$B$139:$B$148,$B141)</f>
        <v>35247.291078195158</v>
      </c>
      <c r="E141" s="2" cm="1">
        <f t="array" ref="E141">GROWTH($C$139:$C$148, $B$139:$B$148,B141)</f>
        <v>34767.875005878421</v>
      </c>
      <c r="F141" s="21">
        <f t="shared" si="32"/>
        <v>35205.866432309922</v>
      </c>
      <c r="G141" s="19"/>
      <c r="H141" s="2">
        <f t="shared" si="33"/>
        <v>7752.7089218048422</v>
      </c>
      <c r="I141" s="2">
        <f>ABS($C141-E141)</f>
        <v>8232.1249941215792</v>
      </c>
      <c r="J141" s="2">
        <f t="shared" si="34"/>
        <v>7794.1335676900781</v>
      </c>
      <c r="M141" s="17">
        <f t="shared" si="29"/>
        <v>2436.4999999999995</v>
      </c>
      <c r="N141" s="17">
        <f t="shared" si="30"/>
        <v>35724.910079019297</v>
      </c>
      <c r="O141" s="14">
        <v>2436.5000000000005</v>
      </c>
    </row>
    <row r="142" spans="1:15">
      <c r="A142" s="13">
        <f t="shared" si="35"/>
        <v>2014</v>
      </c>
      <c r="B142" s="28">
        <f t="shared" si="31"/>
        <v>1413</v>
      </c>
      <c r="C142" s="18">
        <v>33330</v>
      </c>
      <c r="D142" s="2" cm="1">
        <f t="array" ref="D142">TREND($C$139:$C$148,$B$139:$B$148,$B142)</f>
        <v>34748.680996059862</v>
      </c>
      <c r="E142" s="2" cm="1">
        <f t="array" ref="E142">GROWTH($C$139:$C$148, $B$139:$B$148,B142)</f>
        <v>34229.984382414274</v>
      </c>
      <c r="F142" s="21">
        <f t="shared" si="32"/>
        <v>34250.916223601016</v>
      </c>
      <c r="G142" s="19"/>
      <c r="H142" s="2">
        <f t="shared" si="33"/>
        <v>1418.6809960598621</v>
      </c>
      <c r="I142" s="2">
        <f t="shared" si="33"/>
        <v>899.98438241427357</v>
      </c>
      <c r="J142" s="2">
        <f t="shared" si="34"/>
        <v>920.9162236010161</v>
      </c>
      <c r="M142" s="17">
        <f t="shared" si="29"/>
        <v>9196</v>
      </c>
      <c r="N142" s="17">
        <f t="shared" si="30"/>
        <v>118366.61633617284</v>
      </c>
      <c r="O142" s="14">
        <v>15000</v>
      </c>
    </row>
    <row r="143" spans="1:15">
      <c r="A143" s="13">
        <f t="shared" si="35"/>
        <v>2015</v>
      </c>
      <c r="B143" s="28">
        <f t="shared" si="31"/>
        <v>449</v>
      </c>
      <c r="C143" s="18">
        <v>36611</v>
      </c>
      <c r="D143" s="2" cm="1">
        <f t="array" ref="D143">TREND($C$139:$C$148,$B$139:$B$148,$B143)</f>
        <v>35322.261090544853</v>
      </c>
      <c r="E143" s="2" cm="1">
        <f t="array" ref="E143">GROWTH($C$139:$C$148, $B$139:$B$148,B143)</f>
        <v>34849.478920805144</v>
      </c>
      <c r="F143" s="21">
        <f t="shared" si="32"/>
        <v>35517.778405433135</v>
      </c>
      <c r="G143" s="19"/>
      <c r="H143" s="2">
        <f t="shared" si="33"/>
        <v>1288.7389094551472</v>
      </c>
      <c r="I143" s="2">
        <f t="shared" si="33"/>
        <v>1761.5210791948557</v>
      </c>
      <c r="J143" s="2">
        <f t="shared" si="34"/>
        <v>1093.221594566865</v>
      </c>
      <c r="M143" s="17">
        <f t="shared" si="29"/>
        <v>10660</v>
      </c>
      <c r="N143" s="17">
        <f t="shared" si="30"/>
        <v>152949.6959351282</v>
      </c>
      <c r="O143" s="14">
        <v>15000</v>
      </c>
    </row>
    <row r="144" spans="1:15">
      <c r="A144" s="13">
        <f t="shared" si="35"/>
        <v>2016</v>
      </c>
      <c r="B144" s="28">
        <f t="shared" si="31"/>
        <v>431</v>
      </c>
      <c r="C144" s="18">
        <v>27769</v>
      </c>
      <c r="D144" s="2" cm="1">
        <f t="array" ref="D144">TREND($C$139:$C$148,$B$139:$B$148,$B144)</f>
        <v>35332.971092309097</v>
      </c>
      <c r="E144" s="2" cm="1">
        <f t="array" ref="E144">GROWTH($C$139:$C$148, $B$139:$B$148,B144)</f>
        <v>34861.152247819067</v>
      </c>
      <c r="F144" s="21">
        <f t="shared" si="32"/>
        <v>35565.929311297929</v>
      </c>
      <c r="G144" s="19"/>
      <c r="H144" s="2">
        <f t="shared" si="33"/>
        <v>7563.971092309097</v>
      </c>
      <c r="I144" s="2">
        <f t="shared" si="33"/>
        <v>7092.1522478190673</v>
      </c>
      <c r="J144" s="2">
        <f t="shared" si="34"/>
        <v>7796.9293112979285</v>
      </c>
      <c r="M144" s="17">
        <f t="shared" si="29"/>
        <v>12907</v>
      </c>
      <c r="N144" s="17">
        <f t="shared" si="30"/>
        <v>217584.89888336998</v>
      </c>
      <c r="O144" s="14">
        <v>15000</v>
      </c>
    </row>
    <row r="145" spans="1:15">
      <c r="A145" s="13">
        <f t="shared" si="35"/>
        <v>2017</v>
      </c>
      <c r="B145" s="28">
        <f t="shared" si="31"/>
        <v>1987</v>
      </c>
      <c r="C145" s="18">
        <v>40642</v>
      </c>
      <c r="D145" s="2" cm="1">
        <f t="array" ref="D145">TREND($C$139:$C$148,$B$139:$B$148,$B145)</f>
        <v>34407.150939800122</v>
      </c>
      <c r="E145" s="2" cm="1">
        <f t="array" ref="E145">GROWTH($C$139:$C$148, $B$139:$B$148,B145)</f>
        <v>33866.358582430948</v>
      </c>
      <c r="F145" s="21">
        <f t="shared" si="32"/>
        <v>34720.002224359851</v>
      </c>
      <c r="G145" s="19"/>
      <c r="H145" s="2">
        <f t="shared" si="33"/>
        <v>6234.8490601998783</v>
      </c>
      <c r="I145" s="2">
        <f t="shared" si="33"/>
        <v>6775.6414175690516</v>
      </c>
      <c r="J145" s="2">
        <f t="shared" si="34"/>
        <v>5921.9977756401495</v>
      </c>
      <c r="M145" s="17">
        <f t="shared" si="29"/>
        <v>12015</v>
      </c>
      <c r="N145" s="17">
        <f t="shared" si="30"/>
        <v>190251.43193245446</v>
      </c>
      <c r="O145" s="14">
        <v>15000</v>
      </c>
    </row>
    <row r="146" spans="1:15">
      <c r="A146" s="13">
        <f t="shared" si="35"/>
        <v>2018</v>
      </c>
      <c r="B146" s="28">
        <f t="shared" si="31"/>
        <v>1784</v>
      </c>
      <c r="C146" s="18">
        <v>33746</v>
      </c>
      <c r="D146" s="2" cm="1">
        <f t="array" ref="D146">TREND($C$139:$C$148,$B$139:$B$148,$B146)</f>
        <v>34527.935959696857</v>
      </c>
      <c r="E146" s="2" cm="1">
        <f t="array" ref="E146">GROWTH($C$139:$C$148, $B$139:$B$148,B146)</f>
        <v>33994.514333263818</v>
      </c>
      <c r="F146" s="21">
        <f t="shared" si="32"/>
        <v>34449.735487217535</v>
      </c>
      <c r="G146" s="19"/>
      <c r="H146" s="2">
        <f t="shared" si="33"/>
        <v>781.93595969685703</v>
      </c>
      <c r="I146" s="2">
        <f t="shared" si="33"/>
        <v>248.51433326381812</v>
      </c>
      <c r="J146" s="2">
        <f t="shared" si="34"/>
        <v>703.73548721753468</v>
      </c>
      <c r="M146" s="17">
        <f t="shared" si="29"/>
        <v>2346</v>
      </c>
      <c r="N146" s="17">
        <f t="shared" si="30"/>
        <v>35477.5624523851</v>
      </c>
      <c r="O146" s="14">
        <v>2346</v>
      </c>
    </row>
    <row r="147" spans="1:15">
      <c r="A147" s="13">
        <f t="shared" si="35"/>
        <v>2019</v>
      </c>
      <c r="B147" s="28">
        <f t="shared" si="31"/>
        <v>1764</v>
      </c>
      <c r="C147" s="18">
        <v>29322</v>
      </c>
      <c r="D147" s="2" cm="1">
        <f t="array" ref="D147">TREND($C$139:$C$148,$B$139:$B$148,$B147)</f>
        <v>34539.835961657125</v>
      </c>
      <c r="E147" s="2" cm="1">
        <f t="array" ref="E147">GROWTH($C$139:$C$148, $B$139:$B$148,B147)</f>
        <v>34007.166729246906</v>
      </c>
      <c r="F147" s="21">
        <f t="shared" si="32"/>
        <v>34429.288991928232</v>
      </c>
      <c r="G147" s="19"/>
      <c r="H147" s="2">
        <f t="shared" si="33"/>
        <v>5217.8359616571252</v>
      </c>
      <c r="I147" s="2">
        <f t="shared" si="33"/>
        <v>4685.1667292469065</v>
      </c>
      <c r="J147" s="2">
        <f t="shared" si="34"/>
        <v>5107.2889919282316</v>
      </c>
    </row>
    <row r="148" spans="1:15">
      <c r="A148" s="13">
        <f t="shared" si="35"/>
        <v>2020</v>
      </c>
      <c r="B148" s="28">
        <f t="shared" si="31"/>
        <v>1429</v>
      </c>
      <c r="C148" s="18">
        <v>38965</v>
      </c>
      <c r="D148" s="2" cm="1">
        <f t="array" ref="D148">TREND($C$139:$C$148,$B$139:$B$148,$B148)</f>
        <v>34739.160994491642</v>
      </c>
      <c r="E148" s="2" cm="1">
        <f t="array" ref="E148">GROWTH($C$139:$C$148, $B$139:$B$148,B148)</f>
        <v>34219.795766915711</v>
      </c>
      <c r="F148" s="21">
        <f t="shared" si="32"/>
        <v>34251.619166076882</v>
      </c>
      <c r="G148" s="19"/>
      <c r="H148" s="2">
        <f t="shared" si="33"/>
        <v>4225.8390055083582</v>
      </c>
      <c r="I148" s="2">
        <f t="shared" si="33"/>
        <v>4745.2042330842887</v>
      </c>
      <c r="J148" s="2">
        <f t="shared" si="34"/>
        <v>4713.3808339231182</v>
      </c>
      <c r="N148" s="31">
        <f>SUM(N137:N146)</f>
        <v>1380135.5424721458</v>
      </c>
      <c r="O148" s="30"/>
    </row>
    <row r="149" spans="1:15">
      <c r="C149" s="31">
        <f>SUM(_xlfn.ANCHORARRAY(C139))</f>
        <v>347726</v>
      </c>
      <c r="D149" s="4"/>
      <c r="E149" s="4"/>
      <c r="F149" s="25"/>
      <c r="G149" s="25"/>
      <c r="H149" s="4"/>
      <c r="I149" s="4"/>
      <c r="J149" s="4"/>
    </row>
    <row r="150" spans="1:15">
      <c r="D150" t="s">
        <v>19</v>
      </c>
      <c r="I150" s="4"/>
      <c r="J150" s="4"/>
    </row>
    <row r="151" spans="1:15">
      <c r="D151" cm="1">
        <f t="array" ref="D151:F151">LINEST(_xlfn.ANCHORARRAY(C139),B139:B148^{1,2},TRUE,FALSE)</f>
        <v>1.3858227474839756E-3</v>
      </c>
      <c r="E151">
        <v>-3.8945743436078222</v>
      </c>
      <c r="F151">
        <v>36987.059033997532</v>
      </c>
      <c r="I151" s="4"/>
      <c r="J151" s="4"/>
    </row>
    <row r="152" spans="1:15">
      <c r="I152" s="4"/>
      <c r="J152" s="4"/>
    </row>
    <row r="153" spans="1:15">
      <c r="D153" s="12"/>
      <c r="E153" s="12" t="s">
        <v>21</v>
      </c>
      <c r="F153" s="12" t="s">
        <v>22</v>
      </c>
      <c r="G153" s="12"/>
      <c r="H153" s="12" t="s">
        <v>23</v>
      </c>
      <c r="I153" s="4"/>
      <c r="J153" s="4"/>
    </row>
    <row r="154" spans="1:15">
      <c r="D154" s="12" t="s">
        <v>24</v>
      </c>
      <c r="E154" s="2">
        <f>AVERAGE(D139:D148)</f>
        <v>34772.6</v>
      </c>
      <c r="F154" s="2">
        <f>AVERAGE(E139:E148)</f>
        <v>34257.827970751314</v>
      </c>
      <c r="G154" s="2"/>
      <c r="H154" s="19">
        <f>AVERAGE(F139:F148)</f>
        <v>34772.6</v>
      </c>
      <c r="I154" s="4"/>
      <c r="J154" s="4"/>
    </row>
    <row r="155" spans="1:15">
      <c r="D155" s="12" t="s">
        <v>25</v>
      </c>
      <c r="E155" s="15">
        <f>MIN(E154:H154)</f>
        <v>34257.827970751314</v>
      </c>
      <c r="F155" s="15"/>
      <c r="G155" s="15"/>
      <c r="H155" s="15"/>
      <c r="I155" s="4"/>
      <c r="J155" s="4"/>
    </row>
    <row r="156" spans="1:15">
      <c r="D156" s="12" t="s">
        <v>26</v>
      </c>
      <c r="E156" s="22" t="str">
        <f ca="1">OFFSET(D153,0,MATCH(E155,E154:H154,0))</f>
        <v>Exponential</v>
      </c>
      <c r="F156" s="23"/>
      <c r="G156" s="23"/>
      <c r="H156" s="24"/>
      <c r="I156" s="4"/>
      <c r="J156" s="4"/>
    </row>
    <row r="157" spans="1:15">
      <c r="M157" s="33" t="s">
        <v>43</v>
      </c>
      <c r="N157" t="s">
        <v>36</v>
      </c>
      <c r="O157" t="s">
        <v>44</v>
      </c>
    </row>
    <row r="158" spans="1:15">
      <c r="A158" t="s">
        <v>31</v>
      </c>
      <c r="M158" s="17">
        <f>ABS(O158-F4)</f>
        <v>2637.5</v>
      </c>
      <c r="N158" s="17">
        <f>$D$172*M158^2+$E$172*M158+$F$172</f>
        <v>74491.236525711429</v>
      </c>
      <c r="O158" s="14">
        <v>2637.5</v>
      </c>
    </row>
    <row r="159" spans="1:15">
      <c r="A159" s="10" t="s">
        <v>10</v>
      </c>
      <c r="B159" s="10" t="s">
        <v>35</v>
      </c>
      <c r="C159" s="10" t="s">
        <v>17</v>
      </c>
      <c r="D159" s="11" t="s">
        <v>11</v>
      </c>
      <c r="E159" s="11" t="s">
        <v>12</v>
      </c>
      <c r="F159" s="20" t="s">
        <v>13</v>
      </c>
      <c r="G159" s="20"/>
      <c r="H159" s="12" t="s">
        <v>14</v>
      </c>
      <c r="I159" s="12" t="s">
        <v>15</v>
      </c>
      <c r="J159" s="12" t="s">
        <v>16</v>
      </c>
      <c r="M159" s="17">
        <f t="shared" ref="M159:M167" si="36">ABS(O159-F5)</f>
        <v>3684.5</v>
      </c>
      <c r="N159" s="17">
        <f t="shared" ref="N159:N167" si="37">$D$172*M159^2+$E$172*M159+$F$172</f>
        <v>95601.575557282136</v>
      </c>
      <c r="O159" s="14">
        <v>3684.5</v>
      </c>
    </row>
    <row r="160" spans="1:15">
      <c r="A160" s="13">
        <v>2011</v>
      </c>
      <c r="B160" s="28">
        <f>$B139</f>
        <v>1871</v>
      </c>
      <c r="C160" s="18" cm="1">
        <f t="array" ref="C160:C169">H32:H41</f>
        <v>67713</v>
      </c>
      <c r="D160" s="2" cm="1">
        <f t="array" ref="D160">TREND($C$160:$C$169,$B$160:$B$169,$B160)</f>
        <v>65616.88898513859</v>
      </c>
      <c r="E160" s="2" cm="1">
        <f t="array" ref="E160">GROWTH($C$160:$C$169, $B$160:$B$169,B160)</f>
        <v>65530.464768608123</v>
      </c>
      <c r="F160" s="21">
        <f>$D$172*(B160)^2+$E$172*(B160)+$F$172</f>
        <v>65884.971328766289</v>
      </c>
      <c r="G160" s="19"/>
      <c r="H160" s="2">
        <f>ABS($C160-D160)</f>
        <v>2096.1110148614098</v>
      </c>
      <c r="I160" s="2">
        <f>ABS($C160-E160)</f>
        <v>2182.5352313918775</v>
      </c>
      <c r="J160" s="2">
        <f>ABS(C160-F160)</f>
        <v>1828.0286712337111</v>
      </c>
      <c r="M160" s="17">
        <f t="shared" si="36"/>
        <v>3.6204710340825841E-6</v>
      </c>
      <c r="N160" s="17">
        <f t="shared" si="37"/>
        <v>69189.790616808299</v>
      </c>
      <c r="O160" s="14">
        <v>4245.999996379529</v>
      </c>
    </row>
    <row r="161" spans="1:15">
      <c r="A161" s="13">
        <f>A160+1</f>
        <v>2012</v>
      </c>
      <c r="B161" s="28">
        <f t="shared" ref="B161:B168" si="38">$B140</f>
        <v>2025</v>
      </c>
      <c r="C161" s="18">
        <v>64054</v>
      </c>
      <c r="D161" s="2" cm="1">
        <f t="array" ref="D161">TREND($C$160:$C$169,$B$160:$B$169,$B161)</f>
        <v>65731.782810331977</v>
      </c>
      <c r="E161" s="2" cm="1">
        <f t="array" ref="E161">GROWTH($C$160:$C$169, $B$160:$B$169,B161)</f>
        <v>65650.004113140822</v>
      </c>
      <c r="F161" s="21">
        <f t="shared" ref="F161:F169" si="39">$D$172*(B161)^2+$E$172*(B161)+$F$172</f>
        <v>67149.366863154646</v>
      </c>
      <c r="G161" s="19"/>
      <c r="H161" s="2">
        <f t="shared" ref="H161:I169" si="40">ABS($C161-D161)</f>
        <v>1677.7828103319771</v>
      </c>
      <c r="I161" s="2">
        <f t="shared" si="40"/>
        <v>1596.0041131408216</v>
      </c>
      <c r="J161" s="2">
        <f t="shared" ref="J161:J169" si="41">ABS(C161-F161)</f>
        <v>3095.3668631546461</v>
      </c>
      <c r="M161" s="17">
        <f t="shared" si="36"/>
        <v>779</v>
      </c>
      <c r="N161" s="17">
        <f t="shared" si="37"/>
        <v>63622.771644781256</v>
      </c>
      <c r="O161" s="14">
        <v>5000</v>
      </c>
    </row>
    <row r="162" spans="1:15">
      <c r="A162" s="13">
        <f t="shared" ref="A162:A169" si="42">A161+1</f>
        <v>2013</v>
      </c>
      <c r="B162" s="28">
        <f t="shared" si="38"/>
        <v>575</v>
      </c>
      <c r="C162" s="18">
        <v>60326</v>
      </c>
      <c r="D162" s="2" cm="1">
        <f t="array" ref="D162">TREND($C$160:$C$169,$B$160:$B$169,$B162)</f>
        <v>64649.990300394267</v>
      </c>
      <c r="E162" s="2" cm="1">
        <f t="array" ref="E162">GROWTH($C$160:$C$169, $B$160:$B$169,B162)</f>
        <v>64533.056221719489</v>
      </c>
      <c r="F162" s="21">
        <f t="shared" si="39"/>
        <v>64502.720748392916</v>
      </c>
      <c r="G162" s="19"/>
      <c r="H162" s="2">
        <f t="shared" si="40"/>
        <v>4323.9903003942673</v>
      </c>
      <c r="I162" s="2">
        <f>ABS($C162-E162)</f>
        <v>4207.0562217194893</v>
      </c>
      <c r="J162" s="2">
        <f t="shared" si="41"/>
        <v>4176.720748392916</v>
      </c>
      <c r="M162" s="17">
        <f t="shared" si="36"/>
        <v>521.3296110152337</v>
      </c>
      <c r="N162" s="17">
        <f t="shared" si="37"/>
        <v>64802.360246428274</v>
      </c>
      <c r="O162" s="14">
        <v>3902.6703889847663</v>
      </c>
    </row>
    <row r="163" spans="1:15">
      <c r="A163" s="13">
        <f t="shared" si="42"/>
        <v>2014</v>
      </c>
      <c r="B163" s="28">
        <f t="shared" si="38"/>
        <v>1413</v>
      </c>
      <c r="C163" s="18">
        <v>61552</v>
      </c>
      <c r="D163" s="2" cm="1">
        <f t="array" ref="D163">TREND($C$160:$C$169,$B$160:$B$169,$B163)</f>
        <v>65275.191764758267</v>
      </c>
      <c r="E163" s="2" cm="1">
        <f t="array" ref="E163">GROWTH($C$160:$C$169, $B$160:$B$169,B163)</f>
        <v>65176.236383502983</v>
      </c>
      <c r="F163" s="21">
        <f t="shared" si="39"/>
        <v>63505.578688398688</v>
      </c>
      <c r="G163" s="19"/>
      <c r="H163" s="2">
        <f t="shared" si="40"/>
        <v>3723.1917647582668</v>
      </c>
      <c r="I163" s="2">
        <f t="shared" si="40"/>
        <v>3624.2363835029828</v>
      </c>
      <c r="J163" s="2">
        <f t="shared" si="41"/>
        <v>1953.5786883986875</v>
      </c>
      <c r="M163" s="17">
        <f t="shared" si="36"/>
        <v>2686.5</v>
      </c>
      <c r="N163" s="17">
        <f t="shared" si="37"/>
        <v>75238.279795801296</v>
      </c>
      <c r="O163" s="14">
        <v>2686.5</v>
      </c>
    </row>
    <row r="164" spans="1:15">
      <c r="A164" s="13">
        <f t="shared" si="42"/>
        <v>2015</v>
      </c>
      <c r="B164" s="28">
        <f t="shared" si="38"/>
        <v>449</v>
      </c>
      <c r="C164" s="18">
        <v>70109</v>
      </c>
      <c r="D164" s="2" cm="1">
        <f t="array" ref="D164">TREND($C$160:$C$169,$B$160:$B$169,$B164)</f>
        <v>64555.986261599675</v>
      </c>
      <c r="E164" s="2" cm="1">
        <f t="array" ref="E164">GROWTH($C$160:$C$169, $B$160:$B$169,B164)</f>
        <v>64436.899398768423</v>
      </c>
      <c r="F164" s="21">
        <f t="shared" si="39"/>
        <v>65251.073612542394</v>
      </c>
      <c r="G164" s="19"/>
      <c r="H164" s="2">
        <f t="shared" si="40"/>
        <v>5553.0137384003247</v>
      </c>
      <c r="I164" s="2">
        <f t="shared" si="40"/>
        <v>5672.1006012315775</v>
      </c>
      <c r="J164" s="2">
        <f t="shared" si="41"/>
        <v>4857.9263874576063</v>
      </c>
      <c r="M164" s="17">
        <f t="shared" si="36"/>
        <v>2126.2284284019734</v>
      </c>
      <c r="N164" s="17">
        <f t="shared" si="37"/>
        <v>68107.778501119275</v>
      </c>
      <c r="O164" s="14">
        <v>4200.7715715980266</v>
      </c>
    </row>
    <row r="165" spans="1:15">
      <c r="A165" s="13">
        <f t="shared" si="42"/>
        <v>2016</v>
      </c>
      <c r="B165" s="28">
        <f t="shared" si="38"/>
        <v>431</v>
      </c>
      <c r="C165" s="18">
        <v>63905</v>
      </c>
      <c r="D165" s="2" cm="1">
        <f t="array" ref="D165">TREND($C$160:$C$169,$B$160:$B$169,$B165)</f>
        <v>64542.557113200455</v>
      </c>
      <c r="E165" s="2" cm="1">
        <f t="array" ref="E165">GROWTH($C$160:$C$169, $B$160:$B$169,B165)</f>
        <v>64423.174410880194</v>
      </c>
      <c r="F165" s="21">
        <f t="shared" si="39"/>
        <v>65370.75133942438</v>
      </c>
      <c r="G165" s="19"/>
      <c r="H165" s="2">
        <f t="shared" si="40"/>
        <v>637.55711320045521</v>
      </c>
      <c r="I165" s="2">
        <f>ABS($C165-E165)</f>
        <v>518.17441088019405</v>
      </c>
      <c r="J165" s="2">
        <f t="shared" si="41"/>
        <v>1465.7513394243797</v>
      </c>
      <c r="M165" s="17">
        <f t="shared" si="36"/>
        <v>106.49981680168321</v>
      </c>
      <c r="N165" s="17">
        <f t="shared" si="37"/>
        <v>68075.843444388156</v>
      </c>
      <c r="O165" s="14">
        <v>3983.4998168016832</v>
      </c>
    </row>
    <row r="166" spans="1:15">
      <c r="A166" s="13">
        <f t="shared" si="42"/>
        <v>2017</v>
      </c>
      <c r="B166" s="28">
        <f t="shared" si="38"/>
        <v>1987</v>
      </c>
      <c r="C166" s="18">
        <v>69348</v>
      </c>
      <c r="D166" s="2" cm="1">
        <f t="array" ref="D166">TREND($C$160:$C$169,$B$160:$B$169,$B166)</f>
        <v>65703.432385933615</v>
      </c>
      <c r="E166" s="2" cm="1">
        <f t="array" ref="E166">GROWTH($C$160:$C$169, $B$160:$B$169,B166)</f>
        <v>65620.487142015045</v>
      </c>
      <c r="F166" s="21">
        <f t="shared" si="39"/>
        <v>66815.655979776944</v>
      </c>
      <c r="G166" s="19"/>
      <c r="H166" s="2">
        <f t="shared" si="40"/>
        <v>3644.5676140663854</v>
      </c>
      <c r="I166" s="2">
        <f t="shared" si="40"/>
        <v>3727.5128579849552</v>
      </c>
      <c r="J166" s="2">
        <f t="shared" si="41"/>
        <v>2532.3440202230558</v>
      </c>
      <c r="M166" s="17">
        <f t="shared" si="36"/>
        <v>1426.3305608271467</v>
      </c>
      <c r="N166" s="17">
        <f t="shared" si="37"/>
        <v>63545.629006835879</v>
      </c>
      <c r="O166" s="14">
        <v>3322.6694391728533</v>
      </c>
    </row>
    <row r="167" spans="1:15">
      <c r="A167" s="13">
        <f t="shared" si="42"/>
        <v>2018</v>
      </c>
      <c r="B167" s="28">
        <f t="shared" si="38"/>
        <v>1784</v>
      </c>
      <c r="C167" s="18">
        <v>68303</v>
      </c>
      <c r="D167" s="2" cm="1">
        <f t="array" ref="D167">TREND($C$160:$C$169,$B$160:$B$169,$B167)</f>
        <v>65551.981434542337</v>
      </c>
      <c r="E167" s="2" cm="1">
        <f t="array" ref="E167">GROWTH($C$160:$C$169, $B$160:$B$169,B167)</f>
        <v>65463.029043672686</v>
      </c>
      <c r="F167" s="21">
        <f t="shared" si="39"/>
        <v>65273.969437041349</v>
      </c>
      <c r="G167" s="19"/>
      <c r="H167" s="2">
        <f t="shared" si="40"/>
        <v>2751.0185654576635</v>
      </c>
      <c r="I167" s="2">
        <f t="shared" si="40"/>
        <v>2839.9709563273136</v>
      </c>
      <c r="J167" s="2">
        <f t="shared" si="41"/>
        <v>3029.030562958651</v>
      </c>
      <c r="M167" s="17">
        <f t="shared" si="36"/>
        <v>1737</v>
      </c>
      <c r="N167" s="17">
        <f t="shared" si="37"/>
        <v>64974.916721227833</v>
      </c>
      <c r="O167" s="14">
        <v>5000</v>
      </c>
    </row>
    <row r="168" spans="1:15">
      <c r="A168" s="13">
        <f t="shared" si="42"/>
        <v>2019</v>
      </c>
      <c r="B168" s="28">
        <f t="shared" si="38"/>
        <v>1764</v>
      </c>
      <c r="C168" s="18">
        <v>59915</v>
      </c>
      <c r="D168" s="2" cm="1">
        <f t="array" ref="D168">TREND($C$160:$C$169,$B$160:$B$169,$B168)</f>
        <v>65537.060158543187</v>
      </c>
      <c r="E168" s="2" cm="1">
        <f t="array" ref="E168">GROWTH($C$160:$C$169, $B$160:$B$169,B168)</f>
        <v>65447.536391058449</v>
      </c>
      <c r="F168" s="21">
        <f t="shared" si="39"/>
        <v>65144.052509131121</v>
      </c>
      <c r="G168" s="19"/>
      <c r="H168" s="2">
        <f t="shared" si="40"/>
        <v>5622.0601585431868</v>
      </c>
      <c r="I168" s="2">
        <f t="shared" si="40"/>
        <v>5532.5363910584492</v>
      </c>
      <c r="J168" s="2">
        <f t="shared" si="41"/>
        <v>5229.052509131121</v>
      </c>
    </row>
    <row r="169" spans="1:15">
      <c r="A169" s="13">
        <f t="shared" si="42"/>
        <v>2020</v>
      </c>
      <c r="B169" s="28">
        <f>$B148</f>
        <v>1429</v>
      </c>
      <c r="C169" s="18">
        <v>67227</v>
      </c>
      <c r="D169" s="2" cm="1">
        <f t="array" ref="D169">TREND($C$160:$C$169,$B$160:$B$169,$B169)</f>
        <v>65287.128785557579</v>
      </c>
      <c r="E169" s="2" cm="1">
        <f t="array" ref="E169">GROWTH($C$160:$C$169, $B$160:$B$169,B169)</f>
        <v>65188.578836028501</v>
      </c>
      <c r="F169" s="21">
        <f t="shared" si="39"/>
        <v>63553.859493371259</v>
      </c>
      <c r="G169" s="19"/>
      <c r="H169" s="2">
        <f t="shared" si="40"/>
        <v>1939.8712144424208</v>
      </c>
      <c r="I169" s="2">
        <f t="shared" si="40"/>
        <v>2038.4211639714995</v>
      </c>
      <c r="J169" s="2">
        <f t="shared" si="41"/>
        <v>3673.1405066287407</v>
      </c>
      <c r="N169" s="31">
        <f>SUM(N158:N167)</f>
        <v>707650.18206038384</v>
      </c>
      <c r="O169" s="30"/>
    </row>
    <row r="170" spans="1:15">
      <c r="C170" s="31">
        <f>SUM(_xlfn.ANCHORARRAY(C160))</f>
        <v>652452</v>
      </c>
    </row>
    <row r="171" spans="1:15">
      <c r="D171" t="s">
        <v>19</v>
      </c>
    </row>
    <row r="172" spans="1:15">
      <c r="D172" cm="1">
        <f t="array" ref="D172:F172">LINEST(_xlfn.ANCHORARRAY(C160),B160:B169^{1,2},TRUE,FALSE)</f>
        <v>4.9267649925286063E-3</v>
      </c>
      <c r="E172">
        <v>-10.984315797980081</v>
      </c>
      <c r="F172">
        <v>69189.79065657669</v>
      </c>
    </row>
    <row r="174" spans="1:15">
      <c r="D174" s="12"/>
      <c r="E174" s="12" t="s">
        <v>21</v>
      </c>
      <c r="F174" s="12" t="s">
        <v>22</v>
      </c>
      <c r="G174" s="12"/>
      <c r="H174" s="12" t="s">
        <v>23</v>
      </c>
    </row>
    <row r="175" spans="1:15">
      <c r="D175" s="12" t="s">
        <v>24</v>
      </c>
      <c r="E175" s="2">
        <f>AVERAGE(D160:D169)</f>
        <v>65245.19999999999</v>
      </c>
      <c r="F175" s="2">
        <f>AVERAGE(E160:E169)</f>
        <v>65146.946670939462</v>
      </c>
      <c r="G175" s="2"/>
      <c r="H175" s="2">
        <f>AVERAGE(F160:F169)</f>
        <v>65245.2</v>
      </c>
    </row>
    <row r="176" spans="1:15">
      <c r="D176" s="12" t="s">
        <v>25</v>
      </c>
      <c r="E176" s="15">
        <f>MIN(E175:H175)</f>
        <v>65146.946670939462</v>
      </c>
      <c r="F176" s="15"/>
      <c r="G176" s="15"/>
      <c r="H176" s="15"/>
    </row>
    <row r="177" spans="4:8">
      <c r="D177" s="12" t="s">
        <v>26</v>
      </c>
      <c r="E177" s="22" t="str">
        <f ca="1">OFFSET(D174,0,MATCH(E176,E175:H175,0))</f>
        <v>Exponential</v>
      </c>
      <c r="F177" s="23"/>
      <c r="G177" s="23"/>
      <c r="H177" s="24"/>
    </row>
  </sheetData>
  <mergeCells count="1">
    <mergeCell ref="D2:F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60</vt:i4>
      </vt:variant>
    </vt:vector>
  </HeadingPairs>
  <TitlesOfParts>
    <vt:vector size="72" baseType="lpstr">
      <vt:lpstr>LogIn</vt:lpstr>
      <vt:lpstr>Hidden</vt:lpstr>
      <vt:lpstr>Data Pivot Chart</vt:lpstr>
      <vt:lpstr>Main Data with Charts</vt:lpstr>
      <vt:lpstr>SummaryCharts</vt:lpstr>
      <vt:lpstr>PivotTablesWithHistograms</vt:lpstr>
      <vt:lpstr>StaffHours</vt:lpstr>
      <vt:lpstr>ClientTravel</vt:lpstr>
      <vt:lpstr>TechnologySupport</vt:lpstr>
      <vt:lpstr>Investment</vt:lpstr>
      <vt:lpstr>Text Report</vt:lpstr>
      <vt:lpstr>Investment Data</vt:lpstr>
      <vt:lpstr>AllocatedStaffHours</vt:lpstr>
      <vt:lpstr>AllocatedTotal</vt:lpstr>
      <vt:lpstr>AllocationName</vt:lpstr>
      <vt:lpstr>Client_Travel</vt:lpstr>
      <vt:lpstr>CurrentRole</vt:lpstr>
      <vt:lpstr>Difference1</vt:lpstr>
      <vt:lpstr>Difference2</vt:lpstr>
      <vt:lpstr>Difference3</vt:lpstr>
      <vt:lpstr>Difference4</vt:lpstr>
      <vt:lpstr>Difference5</vt:lpstr>
      <vt:lpstr>Difference6</vt:lpstr>
      <vt:lpstr>DifferenceFormulas</vt:lpstr>
      <vt:lpstr>Divided1</vt:lpstr>
      <vt:lpstr>Divided2</vt:lpstr>
      <vt:lpstr>Divided3</vt:lpstr>
      <vt:lpstr>Divided4</vt:lpstr>
      <vt:lpstr>Divided5</vt:lpstr>
      <vt:lpstr>Divided6</vt:lpstr>
      <vt:lpstr>ExpenseSum1</vt:lpstr>
      <vt:lpstr>ExpenseSum2</vt:lpstr>
      <vt:lpstr>ExpenseSum3</vt:lpstr>
      <vt:lpstr>ExpenseSum4</vt:lpstr>
      <vt:lpstr>ExpenseSum5</vt:lpstr>
      <vt:lpstr>ExpenseSum6</vt:lpstr>
      <vt:lpstr>ForecastedGrossProfit</vt:lpstr>
      <vt:lpstr>Formula1</vt:lpstr>
      <vt:lpstr>Formula2</vt:lpstr>
      <vt:lpstr>Formula3</vt:lpstr>
      <vt:lpstr>Formula4</vt:lpstr>
      <vt:lpstr>Formula5</vt:lpstr>
      <vt:lpstr>Formula6</vt:lpstr>
      <vt:lpstr>LogInInfo</vt:lpstr>
      <vt:lpstr>NewProfit</vt:lpstr>
      <vt:lpstr>Objective1</vt:lpstr>
      <vt:lpstr>Objective2</vt:lpstr>
      <vt:lpstr>Objective3</vt:lpstr>
      <vt:lpstr>Objective4</vt:lpstr>
      <vt:lpstr>Objective5</vt:lpstr>
      <vt:lpstr>Objective6</vt:lpstr>
      <vt:lpstr>PastedTextReport</vt:lpstr>
      <vt:lpstr>PasteFormula</vt:lpstr>
      <vt:lpstr>PasteTextReport</vt:lpstr>
      <vt:lpstr>Region1</vt:lpstr>
      <vt:lpstr>Region2</vt:lpstr>
      <vt:lpstr>RegionName</vt:lpstr>
      <vt:lpstr>RegionTable</vt:lpstr>
      <vt:lpstr>ReportStart</vt:lpstr>
      <vt:lpstr>Staff_Hours</vt:lpstr>
      <vt:lpstr>Technology_Support</vt:lpstr>
      <vt:lpstr>TestRange</vt:lpstr>
      <vt:lpstr>TestRange2</vt:lpstr>
      <vt:lpstr>TextReport</vt:lpstr>
      <vt:lpstr>TotalAllocationName</vt:lpstr>
      <vt:lpstr>TotalProfit</vt:lpstr>
      <vt:lpstr>VarChange1</vt:lpstr>
      <vt:lpstr>VarChange2</vt:lpstr>
      <vt:lpstr>VarChange3</vt:lpstr>
      <vt:lpstr>VarChange4</vt:lpstr>
      <vt:lpstr>VarChange5</vt:lpstr>
      <vt:lpstr>VarChange6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Matthew Ozoroski</cp:lastModifiedBy>
  <cp:lastPrinted>2020-12-04T03:02:06Z</cp:lastPrinted>
  <dcterms:created xsi:type="dcterms:W3CDTF">2020-11-12T13:45:52Z</dcterms:created>
  <dcterms:modified xsi:type="dcterms:W3CDTF">2020-12-12T00:52:40Z</dcterms:modified>
</cp:coreProperties>
</file>